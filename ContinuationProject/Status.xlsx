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DISCDEXPI\ContinuationProject\"/>
    </mc:Choice>
  </mc:AlternateContent>
  <xr:revisionPtr revIDLastSave="0" documentId="13_ncr:1_{08CD6E28-4EAE-4DCE-95CF-F403904ACF5B}" xr6:coauthVersionLast="47" xr6:coauthVersionMax="47" xr10:uidLastSave="{00000000-0000-0000-0000-000000000000}"/>
  <bookViews>
    <workbookView xWindow="28680" yWindow="-120" windowWidth="29040" windowHeight="15720" xr2:uid="{975D681B-08B9-4F16-AF36-2B35AB80030D}"/>
  </bookViews>
  <sheets>
    <sheet name="Status" sheetId="4" r:id="rId1"/>
    <sheet name="AdditionalActivities" sheetId="2" state="hidden" r:id="rId2"/>
  </sheets>
  <definedNames>
    <definedName name="_xlnm._FilterDatabase" localSheetId="0" hidden="1">Status!$B$3:$BG$47</definedName>
    <definedName name="_xlnm.Print_Area" localSheetId="0">Status!$B$1:$I$47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4" l="1"/>
  <c r="F48" i="4"/>
  <c r="F49" i="4"/>
  <c r="H49" i="4"/>
  <c r="H48" i="4"/>
  <c r="H40" i="4" l="1"/>
  <c r="F40" i="4"/>
  <c r="H35" i="4"/>
  <c r="F35" i="4"/>
  <c r="F5" i="4"/>
  <c r="F6" i="4"/>
  <c r="F7" i="4"/>
  <c r="F8" i="4"/>
  <c r="F9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6" i="4"/>
  <c r="F37" i="4"/>
  <c r="F38" i="4"/>
  <c r="F39" i="4"/>
  <c r="F41" i="4"/>
  <c r="F42" i="4"/>
  <c r="F43" i="4"/>
  <c r="F44" i="4"/>
  <c r="F45" i="4"/>
  <c r="F46" i="4"/>
  <c r="F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6" i="4"/>
  <c r="H37" i="4"/>
  <c r="H38" i="4"/>
  <c r="H39" i="4"/>
  <c r="H41" i="4"/>
  <c r="H42" i="4"/>
  <c r="H43" i="4"/>
  <c r="H44" i="4"/>
  <c r="H45" i="4"/>
  <c r="H46" i="4"/>
  <c r="H47" i="4"/>
  <c r="H4" i="4"/>
</calcChain>
</file>

<file path=xl/sharedStrings.xml><?xml version="1.0" encoding="utf-8"?>
<sst xmlns="http://schemas.openxmlformats.org/spreadsheetml/2006/main" count="132" uniqueCount="78">
  <si>
    <t>DISC DEXPI Continuation Project - Status</t>
  </si>
  <si>
    <t>DONE?</t>
  </si>
  <si>
    <t>ProcessSafetyFunction</t>
  </si>
  <si>
    <t>Vessel/Tank Internal Components</t>
  </si>
  <si>
    <t>Annotations</t>
  </si>
  <si>
    <t>Mount Type</t>
  </si>
  <si>
    <t>Duplicate/Incorrect Names</t>
  </si>
  <si>
    <t>Off-Page Signal management</t>
  </si>
  <si>
    <t>Battery Limits/Tie-ins</t>
  </si>
  <si>
    <t>Electrical Line type</t>
  </si>
  <si>
    <t>Update requirements document</t>
  </si>
  <si>
    <t xml:space="preserve">DISC Workshops and meetings </t>
  </si>
  <si>
    <t>Creation of machine-readable DISC DEXPI Profile</t>
  </si>
  <si>
    <t>Proposal for a suitable DEXPI extension (Profile RC 1.xml, work in progress) to cover [2] constraints</t>
  </si>
  <si>
    <t>Extraction of remaining information from the Excel, Drawio, and SVG sources and inclusion in DiscProfile RC 1</t>
  </si>
  <si>
    <t>Blueprint file examples</t>
  </si>
  <si>
    <t>Verification method</t>
  </si>
  <si>
    <t>Symbol definition documentation</t>
  </si>
  <si>
    <t>Task</t>
  </si>
  <si>
    <t>Gap Section Label</t>
  </si>
  <si>
    <t>Document DEXPI suggestion and present to DEXPI Content Team</t>
  </si>
  <si>
    <t>Include updates in DISC DEXPI Requirements document</t>
  </si>
  <si>
    <t>Include updates to DISC DEXPI Profile</t>
  </si>
  <si>
    <t>Include example in Blueprint files</t>
  </si>
  <si>
    <t>Check and if required raise issue with DEXPI group for UoM usage of bar/bar</t>
  </si>
  <si>
    <t>Discuss and agree on suitable DEXPI model</t>
  </si>
  <si>
    <t>Prepare Symbols for Profile</t>
  </si>
  <si>
    <t>Include DEXPI 2.0 updates</t>
  </si>
  <si>
    <t>DISC collaboration environment</t>
  </si>
  <si>
    <t>Convert existing blueprint examples to DEXPI 2.0</t>
  </si>
  <si>
    <t>Document verification method.</t>
  </si>
  <si>
    <t>Document symbol definition requirements</t>
  </si>
  <si>
    <t>Setup Github environment for storage and collaboration</t>
  </si>
  <si>
    <t>Plan and schedule workshops&amp; meetings</t>
  </si>
  <si>
    <t>Additional details</t>
  </si>
  <si>
    <t>Automate conversion and add to profile</t>
  </si>
  <si>
    <t>Motor - Equipment Linking</t>
  </si>
  <si>
    <t>Duplicate/incorrect names Fan/Blower</t>
  </si>
  <si>
    <t>Fixed in DEXPI 2.0</t>
  </si>
  <si>
    <t>Label addition to profile</t>
  </si>
  <si>
    <t>Need to add qualifier type to standard ? Discuss with Aibel.</t>
  </si>
  <si>
    <t>Target Date</t>
  </si>
  <si>
    <t>26.08.2025</t>
  </si>
  <si>
    <t>Notes</t>
  </si>
  <si>
    <t>Status</t>
  </si>
  <si>
    <t>%Complete</t>
  </si>
  <si>
    <t>Only those symbols in the correct format will be made available in the profile.
Challenge with dash lines/hash
Connection points to check and correct.</t>
  </si>
  <si>
    <t>Ensure each symbol is defined in a machine-readable format with correct sizing definitions, connection point definitions.</t>
  </si>
  <si>
    <t>Complete</t>
  </si>
  <si>
    <t>08.09.2025</t>
  </si>
  <si>
    <t>15.09.2025</t>
  </si>
  <si>
    <t>Agreed with Aibel that rules for which sub-type to use will be project specific linked to specific function types.</t>
  </si>
  <si>
    <t>Challenge with battery-limits, these are often drafted using vendor limiting 'boxes' connected via nozzles and overlapping signal lines. 
Suggest to separate out tie-ins from battery-limits.</t>
  </si>
  <si>
    <t>LineStyles support in DEXPI</t>
  </si>
  <si>
    <t>NEW: DEXPI graphical primitives does not support linestyles used in DISC.
Add issue to DEXPI content team.</t>
  </si>
  <si>
    <t xml:space="preserve">Complete Workshop 1 </t>
  </si>
  <si>
    <t>DISC DEXPI workshop at Equinor 2 - days</t>
  </si>
  <si>
    <t>22.09.2025</t>
  </si>
  <si>
    <t>Determined that this gap must be solved in a different way.</t>
  </si>
  <si>
    <t>MeasuringSystem only allows 1 MeasuringElement: need a new solution.</t>
  </si>
  <si>
    <t>29.09.2025</t>
  </si>
  <si>
    <t>To check Text rotation</t>
  </si>
  <si>
    <t>06.10.2025</t>
  </si>
  <si>
    <t>Label position incl. note
Label text
Node directions/type/position</t>
  </si>
  <si>
    <t>13.10.2025</t>
  </si>
  <si>
    <t>20.10.2025</t>
  </si>
  <si>
    <t>27.10.2025</t>
  </si>
  <si>
    <t>Checking html symbol info, type code enum &amp; node type discussion, finish including description.</t>
  </si>
  <si>
    <t xml:space="preserve">Default L-&gt;R for not in-line elements.
L-&gt;R for in-line or B-&gt;T </t>
  </si>
  <si>
    <t>Create blueprint examples for  requirements in both serialization formats.</t>
  </si>
  <si>
    <t>Available in DEXPI 2.0 xml</t>
  </si>
  <si>
    <t>Not needed as can be managed in DEXPI 2.0</t>
  </si>
  <si>
    <t>03.11.2025</t>
  </si>
  <si>
    <t>Line styles to be added.</t>
  </si>
  <si>
    <t>Issue fixed from old versions in-progress</t>
  </si>
  <si>
    <t>Keep as is with no new sub-types</t>
  </si>
  <si>
    <t>Not needed .. Use type attribute</t>
  </si>
  <si>
    <t>No definition required in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</si>
</sst>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Done&quot;;&quot;&quot;;&quot;&quot;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0.24994659260841701"/>
      <name val="Aptos Narrow"/>
      <family val="2"/>
      <scheme val="minor"/>
    </font>
    <font>
      <b/>
      <u/>
      <sz val="28"/>
      <color theme="3"/>
      <name val="Bookman Old Style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164" fontId="5" fillId="0" borderId="0">
      <alignment horizontal="center" vertical="center"/>
    </xf>
    <xf numFmtId="14" fontId="6" fillId="0" borderId="0" applyFill="0" applyBorder="0">
      <alignment horizontal="right" vertical="center"/>
    </xf>
  </cellStyleXfs>
  <cellXfs count="30">
    <xf numFmtId="0" fontId="0" fillId="0" borderId="0" xfId="0"/>
    <xf numFmtId="0" fontId="2" fillId="0" borderId="0" xfId="2"/>
    <xf numFmtId="0" fontId="3" fillId="0" borderId="0" xfId="3" applyBorder="1" applyAlignment="1">
      <alignment horizontal="left"/>
    </xf>
    <xf numFmtId="164" fontId="5" fillId="0" borderId="0" xfId="5">
      <alignment horizontal="center" vertical="center"/>
    </xf>
    <xf numFmtId="9" fontId="2" fillId="0" borderId="0" xfId="1" applyFont="1"/>
    <xf numFmtId="9" fontId="3" fillId="0" borderId="0" xfId="1" applyFont="1" applyBorder="1" applyAlignment="1">
      <alignment horizontal="left"/>
    </xf>
    <xf numFmtId="0" fontId="0" fillId="0" borderId="0" xfId="0" applyAlignment="1">
      <alignment wrapText="1"/>
    </xf>
    <xf numFmtId="0" fontId="0" fillId="0" borderId="3" xfId="0" applyBorder="1"/>
    <xf numFmtId="0" fontId="3" fillId="0" borderId="0" xfId="3" applyBorder="1" applyAlignment="1">
      <alignment horizontal="left" wrapText="1"/>
    </xf>
    <xf numFmtId="0" fontId="0" fillId="0" borderId="3" xfId="0" applyBorder="1" applyAlignment="1">
      <alignment wrapText="1"/>
    </xf>
    <xf numFmtId="9" fontId="6" fillId="0" borderId="3" xfId="1" applyFont="1" applyBorder="1" applyAlignment="1">
      <alignment horizontal="right"/>
    </xf>
    <xf numFmtId="164" fontId="5" fillId="0" borderId="3" xfId="5" applyBorder="1" applyAlignment="1">
      <alignment horizontal="center"/>
    </xf>
    <xf numFmtId="0" fontId="0" fillId="0" borderId="3" xfId="0" applyBorder="1" applyAlignment="1">
      <alignment vertical="center" wrapText="1"/>
    </xf>
    <xf numFmtId="9" fontId="6" fillId="0" borderId="3" xfId="1" applyFont="1" applyBorder="1" applyAlignment="1">
      <alignment horizontal="right" vertical="center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vertical="center"/>
    </xf>
    <xf numFmtId="0" fontId="7" fillId="0" borderId="0" xfId="2" applyFont="1" applyAlignment="1"/>
    <xf numFmtId="14" fontId="2" fillId="0" borderId="0" xfId="2" applyNumberFormat="1"/>
    <xf numFmtId="14" fontId="3" fillId="0" borderId="0" xfId="3" applyNumberFormat="1" applyBorder="1" applyAlignment="1">
      <alignment horizontal="left"/>
    </xf>
    <xf numFmtId="14" fontId="0" fillId="0" borderId="3" xfId="0" applyNumberFormat="1" applyBorder="1" applyAlignment="1">
      <alignment wrapText="1"/>
    </xf>
    <xf numFmtId="14" fontId="0" fillId="0" borderId="0" xfId="0" applyNumberFormat="1"/>
    <xf numFmtId="14" fontId="4" fillId="0" borderId="0" xfId="4" applyNumberFormat="1" applyBorder="1" applyAlignment="1">
      <alignment horizontal="left" wrapText="1"/>
    </xf>
    <xf numFmtId="9" fontId="0" fillId="0" borderId="0" xfId="0" applyNumberFormat="1"/>
    <xf numFmtId="9" fontId="0" fillId="0" borderId="0" xfId="1" applyFont="1"/>
    <xf numFmtId="9" fontId="6" fillId="0" borderId="0" xfId="1" applyFont="1" applyFill="1" applyBorder="1" applyAlignment="1">
      <alignment horizontal="right" vertical="center"/>
    </xf>
    <xf numFmtId="164" fontId="5" fillId="0" borderId="0" xfId="5" applyAlignment="1">
      <alignment horizontal="center"/>
    </xf>
    <xf numFmtId="9" fontId="2" fillId="0" borderId="0" xfId="1" applyFont="1" applyFill="1"/>
    <xf numFmtId="14" fontId="4" fillId="0" borderId="0" xfId="4" applyNumberFormat="1" applyFill="1" applyBorder="1" applyAlignment="1">
      <alignment horizontal="left" wrapText="1"/>
    </xf>
    <xf numFmtId="9" fontId="6" fillId="0" borderId="3" xfId="1" applyFont="1" applyFill="1" applyBorder="1" applyAlignment="1">
      <alignment horizontal="right"/>
    </xf>
    <xf numFmtId="9" fontId="6" fillId="0" borderId="3" xfId="1" applyFont="1" applyFill="1" applyBorder="1" applyAlignment="1">
      <alignment horizontal="right" vertical="center"/>
    </xf>
  </cellXfs>
  <cellStyles count="7">
    <cellStyle name="Date" xfId="6" xr:uid="{2ABB41C5-3CC8-4E1C-85D9-965CF83E22BD}"/>
    <cellStyle name="Done" xfId="5" xr:uid="{155A3BE5-8E81-4DF4-8692-E9EB5B66282A}"/>
    <cellStyle name="Heading 1" xfId="3" builtinId="16"/>
    <cellStyle name="Heading 2" xfId="4" builtinId="17"/>
    <cellStyle name="Normal" xfId="0" builtinId="0"/>
    <cellStyle name="Percent" xfId="1" builtinId="5"/>
    <cellStyle name="Title" xfId="2" builtinId="15"/>
  </cellStyles>
  <dxfs count="1">
    <dxf>
      <border>
        <bottom style="thin">
          <color theme="0" tint="-0.14993743705557422"/>
        </bottom>
        <horizontal style="thin">
          <color theme="0" tint="-0.14996795556505021"/>
        </horizontal>
      </border>
    </dxf>
  </dxfs>
  <tableStyles count="1" defaultTableStyle="TableStyleMedium2" defaultPivotStyle="PivotStyleLight16">
    <tableStyle name="To-Do List" pivot="0" count="1" xr9:uid="{6FE4F3FF-4B3B-4CF6-BDDD-E9A3583A373E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216F-6A2C-43F0-976D-4459909E096A}">
  <dimension ref="B1:BG49"/>
  <sheetViews>
    <sheetView tabSelected="1" zoomScale="85" zoomScaleNormal="85" workbookViewId="0">
      <pane xSplit="2" ySplit="3" topLeftCell="C13" activePane="bottomRight" state="frozen"/>
      <selection pane="topRight" activeCell="C1" sqref="C1"/>
      <selection pane="bottomLeft" activeCell="A4" sqref="A4"/>
      <selection pane="bottomRight" activeCell="R21" sqref="R21"/>
    </sheetView>
  </sheetViews>
  <sheetFormatPr defaultRowHeight="15" x14ac:dyDescent="0.25"/>
  <cols>
    <col min="1" max="1" width="5.85546875" customWidth="1"/>
    <col min="2" max="2" width="38.85546875" customWidth="1"/>
    <col min="3" max="3" width="56.7109375" customWidth="1"/>
    <col min="4" max="4" width="19.28515625" customWidth="1"/>
    <col min="5" max="5" width="14.5703125" style="20" customWidth="1"/>
    <col min="6" max="6" width="14.42578125" customWidth="1"/>
    <col min="7" max="7" width="19.7109375" customWidth="1"/>
    <col min="8" max="8" width="7" customWidth="1"/>
    <col min="9" max="9" width="36.5703125" customWidth="1"/>
    <col min="10" max="10" width="18.140625" style="22" hidden="1" customWidth="1"/>
    <col min="11" max="11" width="16.85546875" style="22" hidden="1" customWidth="1"/>
    <col min="12" max="12" width="15" style="22" hidden="1" customWidth="1"/>
    <col min="13" max="13" width="19.85546875" style="22" hidden="1" customWidth="1"/>
    <col min="14" max="14" width="17.7109375" style="22" hidden="1" customWidth="1"/>
    <col min="15" max="15" width="16" style="22" hidden="1" customWidth="1"/>
    <col min="16" max="16" width="16.42578125" hidden="1" customWidth="1"/>
    <col min="17" max="17" width="15.7109375" style="22" customWidth="1"/>
    <col min="18" max="18" width="19.140625" style="22" customWidth="1"/>
    <col min="19" max="19" width="15.42578125" style="22" customWidth="1"/>
    <col min="20" max="36" width="9.140625" style="22"/>
  </cols>
  <sheetData>
    <row r="1" spans="2:59" ht="35.25" x14ac:dyDescent="0.5">
      <c r="B1" s="16" t="s">
        <v>0</v>
      </c>
      <c r="C1" s="6"/>
      <c r="D1" s="1"/>
      <c r="E1" s="17"/>
      <c r="F1" s="1"/>
      <c r="G1" s="4"/>
      <c r="H1" s="1"/>
      <c r="I1" s="6"/>
      <c r="P1" s="26"/>
    </row>
    <row r="2" spans="2:59" ht="9" customHeight="1" x14ac:dyDescent="0.4">
      <c r="C2" s="6"/>
      <c r="D2" s="1"/>
      <c r="E2" s="17"/>
      <c r="F2" s="1"/>
      <c r="G2" s="4"/>
      <c r="H2" s="1"/>
      <c r="I2" s="6"/>
      <c r="P2" s="26"/>
    </row>
    <row r="3" spans="2:59" ht="19.5" x14ac:dyDescent="0.3">
      <c r="B3" s="2" t="s">
        <v>19</v>
      </c>
      <c r="C3" s="8" t="s">
        <v>18</v>
      </c>
      <c r="D3" s="2" t="s">
        <v>34</v>
      </c>
      <c r="E3" s="18" t="s">
        <v>41</v>
      </c>
      <c r="F3" s="2" t="s">
        <v>44</v>
      </c>
      <c r="G3" s="5" t="s">
        <v>45</v>
      </c>
      <c r="H3" s="3" t="s">
        <v>1</v>
      </c>
      <c r="I3" s="5" t="s">
        <v>43</v>
      </c>
      <c r="J3" s="21" t="s">
        <v>42</v>
      </c>
      <c r="K3" s="21" t="s">
        <v>49</v>
      </c>
      <c r="L3" s="21" t="s">
        <v>50</v>
      </c>
      <c r="M3" s="21" t="s">
        <v>57</v>
      </c>
      <c r="N3" s="21" t="s">
        <v>60</v>
      </c>
      <c r="O3" s="21" t="s">
        <v>62</v>
      </c>
      <c r="P3" s="27" t="s">
        <v>64</v>
      </c>
      <c r="Q3" s="27" t="s">
        <v>65</v>
      </c>
      <c r="R3" s="27" t="s">
        <v>66</v>
      </c>
      <c r="S3" s="27" t="s">
        <v>72</v>
      </c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</row>
    <row r="4" spans="2:59" ht="90" x14ac:dyDescent="0.25">
      <c r="B4" s="9" t="s">
        <v>12</v>
      </c>
      <c r="C4" s="9" t="s">
        <v>13</v>
      </c>
      <c r="D4" s="9" t="s">
        <v>63</v>
      </c>
      <c r="E4" s="19">
        <v>46010</v>
      </c>
      <c r="F4" s="9" t="str">
        <f>IF(G4=1,"Complete",IF(G4&lt;&gt;0,"In Progess","Not Started"))</f>
        <v>In Progess</v>
      </c>
      <c r="G4" s="10">
        <v>0.9</v>
      </c>
      <c r="H4" s="11">
        <f>--(G4&gt;=1)</f>
        <v>0</v>
      </c>
      <c r="I4" s="9" t="s">
        <v>73</v>
      </c>
      <c r="J4" s="23">
        <v>0.3</v>
      </c>
      <c r="K4" s="22">
        <v>0.3</v>
      </c>
      <c r="L4" s="22">
        <v>0.35</v>
      </c>
      <c r="M4" s="22">
        <v>0.35</v>
      </c>
      <c r="N4" s="22">
        <v>0.4</v>
      </c>
      <c r="O4" s="22">
        <v>0.4</v>
      </c>
      <c r="P4" s="28">
        <v>0.8</v>
      </c>
      <c r="Q4" s="22">
        <v>0.85</v>
      </c>
      <c r="R4" s="22">
        <v>0.9</v>
      </c>
      <c r="S4" s="22">
        <v>0.9</v>
      </c>
    </row>
    <row r="5" spans="2:59" ht="45" x14ac:dyDescent="0.25">
      <c r="B5" s="9" t="s">
        <v>12</v>
      </c>
      <c r="C5" s="9" t="s">
        <v>14</v>
      </c>
      <c r="D5" s="9"/>
      <c r="E5" s="19">
        <v>46010</v>
      </c>
      <c r="F5" s="9" t="str">
        <f t="shared" ref="F5:F49" si="0">IF(G5=1,"Complete",IF(G5&lt;&gt;0,"In Progess","Not Started"))</f>
        <v>In Progess</v>
      </c>
      <c r="G5" s="10">
        <v>0.97</v>
      </c>
      <c r="H5" s="11">
        <f t="shared" ref="H5:H49" si="1">--(G5&gt;=1)</f>
        <v>0</v>
      </c>
      <c r="I5" s="9" t="s">
        <v>67</v>
      </c>
      <c r="J5" s="23">
        <v>0.75</v>
      </c>
      <c r="K5" s="22">
        <v>0.75</v>
      </c>
      <c r="L5" s="22">
        <v>0.8</v>
      </c>
      <c r="M5" s="22">
        <v>0.8</v>
      </c>
      <c r="N5" s="22">
        <v>0.8</v>
      </c>
      <c r="O5" s="22">
        <v>0.9</v>
      </c>
      <c r="P5" s="28">
        <v>0.95</v>
      </c>
      <c r="Q5" s="22">
        <v>0.95</v>
      </c>
      <c r="R5" s="22">
        <v>0.95</v>
      </c>
      <c r="S5" s="22">
        <v>0.97</v>
      </c>
    </row>
    <row r="6" spans="2:59" ht="30" x14ac:dyDescent="0.25">
      <c r="B6" s="9" t="s">
        <v>3</v>
      </c>
      <c r="C6" s="14" t="s">
        <v>20</v>
      </c>
      <c r="D6" s="9"/>
      <c r="E6" s="19">
        <v>45917</v>
      </c>
      <c r="F6" s="9" t="str">
        <f t="shared" si="0"/>
        <v>Complete</v>
      </c>
      <c r="G6" s="10">
        <v>1</v>
      </c>
      <c r="H6" s="11">
        <f t="shared" si="1"/>
        <v>1</v>
      </c>
      <c r="I6" s="9"/>
      <c r="J6" s="23">
        <v>0.9</v>
      </c>
      <c r="K6" s="22">
        <v>0.9</v>
      </c>
      <c r="L6" s="22">
        <v>0.98</v>
      </c>
      <c r="M6" s="22">
        <v>0.98</v>
      </c>
      <c r="N6" s="22">
        <v>1</v>
      </c>
      <c r="O6" s="22">
        <v>1</v>
      </c>
      <c r="P6" s="28">
        <v>1</v>
      </c>
      <c r="Q6" s="22">
        <v>1</v>
      </c>
      <c r="R6" s="22">
        <v>1</v>
      </c>
      <c r="S6" s="22">
        <v>1</v>
      </c>
    </row>
    <row r="7" spans="2:59" x14ac:dyDescent="0.25">
      <c r="B7" s="9" t="s">
        <v>3</v>
      </c>
      <c r="C7" s="15" t="s">
        <v>21</v>
      </c>
      <c r="D7" s="9"/>
      <c r="E7" s="19">
        <v>45925</v>
      </c>
      <c r="F7" s="9" t="str">
        <f t="shared" si="0"/>
        <v>Complete</v>
      </c>
      <c r="G7" s="10">
        <v>1</v>
      </c>
      <c r="H7" s="11">
        <f t="shared" si="1"/>
        <v>1</v>
      </c>
      <c r="I7" s="9"/>
      <c r="J7" s="23"/>
      <c r="N7" s="22">
        <v>0.1</v>
      </c>
      <c r="O7" s="22">
        <v>1</v>
      </c>
      <c r="P7" s="28">
        <v>1</v>
      </c>
      <c r="Q7" s="22">
        <v>1</v>
      </c>
      <c r="R7" s="22">
        <v>1</v>
      </c>
      <c r="S7" s="22">
        <v>1</v>
      </c>
    </row>
    <row r="8" spans="2:59" x14ac:dyDescent="0.25">
      <c r="B8" s="9" t="s">
        <v>3</v>
      </c>
      <c r="C8" s="15" t="s">
        <v>22</v>
      </c>
      <c r="D8" s="9"/>
      <c r="E8" s="19">
        <v>45931</v>
      </c>
      <c r="F8" s="9" t="str">
        <f t="shared" si="0"/>
        <v>Complete</v>
      </c>
      <c r="G8" s="10">
        <v>1</v>
      </c>
      <c r="H8" s="11">
        <f t="shared" si="1"/>
        <v>1</v>
      </c>
      <c r="I8" s="9"/>
      <c r="J8" s="23"/>
      <c r="N8" s="22">
        <v>0.1</v>
      </c>
      <c r="O8" s="22">
        <v>0.1</v>
      </c>
      <c r="P8" s="28">
        <v>0.2</v>
      </c>
      <c r="Q8" s="22">
        <v>1</v>
      </c>
      <c r="R8" s="22">
        <v>1</v>
      </c>
      <c r="S8" s="22">
        <v>1</v>
      </c>
    </row>
    <row r="9" spans="2:59" ht="30" x14ac:dyDescent="0.25">
      <c r="B9" s="9" t="s">
        <v>3</v>
      </c>
      <c r="C9" s="9" t="s">
        <v>23</v>
      </c>
      <c r="D9" s="9"/>
      <c r="E9" s="19">
        <v>45962</v>
      </c>
      <c r="F9" s="9" t="str">
        <f t="shared" si="0"/>
        <v>In Progess</v>
      </c>
      <c r="G9" s="10">
        <v>0.2</v>
      </c>
      <c r="H9" s="11">
        <f t="shared" si="1"/>
        <v>0</v>
      </c>
      <c r="I9" s="9" t="s">
        <v>74</v>
      </c>
      <c r="J9" s="23"/>
      <c r="P9" s="28"/>
      <c r="Q9" s="22">
        <v>0.1</v>
      </c>
      <c r="R9" s="22">
        <v>0.1</v>
      </c>
      <c r="S9" s="22">
        <v>0.2</v>
      </c>
    </row>
    <row r="10" spans="2:59" x14ac:dyDescent="0.25">
      <c r="B10" s="9" t="s">
        <v>4</v>
      </c>
      <c r="C10" s="9" t="s">
        <v>23</v>
      </c>
      <c r="D10" s="9"/>
      <c r="E10" s="19">
        <v>45909</v>
      </c>
      <c r="F10" s="9" t="s">
        <v>48</v>
      </c>
      <c r="G10" s="10">
        <v>1</v>
      </c>
      <c r="H10" s="11">
        <f t="shared" si="1"/>
        <v>1</v>
      </c>
      <c r="I10" s="9"/>
      <c r="J10" s="23"/>
      <c r="K10" s="22">
        <v>1</v>
      </c>
      <c r="L10" s="22">
        <v>1</v>
      </c>
      <c r="M10" s="22">
        <v>1</v>
      </c>
      <c r="N10" s="22">
        <v>1</v>
      </c>
      <c r="O10" s="22">
        <v>1</v>
      </c>
      <c r="P10" s="28">
        <v>1</v>
      </c>
      <c r="Q10" s="22">
        <v>1</v>
      </c>
      <c r="R10" s="22">
        <v>1</v>
      </c>
      <c r="S10" s="22">
        <v>1</v>
      </c>
    </row>
    <row r="11" spans="2:59" ht="45" x14ac:dyDescent="0.25">
      <c r="B11" s="9" t="s">
        <v>5</v>
      </c>
      <c r="C11" s="15" t="s">
        <v>21</v>
      </c>
      <c r="D11" s="9" t="s">
        <v>59</v>
      </c>
      <c r="E11" s="19">
        <v>45917</v>
      </c>
      <c r="F11" s="9" t="str">
        <f t="shared" si="0"/>
        <v>Complete</v>
      </c>
      <c r="G11" s="10">
        <v>1</v>
      </c>
      <c r="H11" s="11">
        <f t="shared" si="1"/>
        <v>1</v>
      </c>
      <c r="I11" s="9" t="s">
        <v>58</v>
      </c>
      <c r="J11" s="23">
        <v>0.6</v>
      </c>
      <c r="K11" s="22">
        <v>0.75</v>
      </c>
      <c r="L11" s="22">
        <v>0.75</v>
      </c>
      <c r="M11" s="22">
        <v>0.85</v>
      </c>
      <c r="N11" s="22">
        <v>0.8</v>
      </c>
      <c r="O11" s="22">
        <v>0.8</v>
      </c>
      <c r="P11" s="28">
        <v>1</v>
      </c>
      <c r="Q11" s="22">
        <v>1</v>
      </c>
      <c r="R11" s="22">
        <v>1</v>
      </c>
      <c r="S11" s="22">
        <v>1</v>
      </c>
    </row>
    <row r="12" spans="2:59" x14ac:dyDescent="0.25">
      <c r="B12" s="9" t="s">
        <v>5</v>
      </c>
      <c r="C12" s="15" t="s">
        <v>22</v>
      </c>
      <c r="D12" s="9"/>
      <c r="E12" s="19">
        <v>45924</v>
      </c>
      <c r="F12" s="9" t="str">
        <f t="shared" si="0"/>
        <v>Complete</v>
      </c>
      <c r="G12" s="10">
        <v>1</v>
      </c>
      <c r="H12" s="11">
        <f t="shared" si="1"/>
        <v>1</v>
      </c>
      <c r="I12" s="9"/>
      <c r="J12" s="23"/>
      <c r="P12" s="28">
        <v>1</v>
      </c>
      <c r="Q12" s="22">
        <v>1</v>
      </c>
      <c r="R12" s="22">
        <v>1</v>
      </c>
      <c r="S12" s="22">
        <v>1</v>
      </c>
    </row>
    <row r="13" spans="2:59" ht="30" x14ac:dyDescent="0.25">
      <c r="B13" s="9" t="s">
        <v>5</v>
      </c>
      <c r="C13" s="9" t="s">
        <v>23</v>
      </c>
      <c r="D13" s="9"/>
      <c r="E13" s="19">
        <v>45931</v>
      </c>
      <c r="F13" s="9" t="str">
        <f t="shared" si="0"/>
        <v>In Progess</v>
      </c>
      <c r="G13" s="10">
        <v>0.2</v>
      </c>
      <c r="H13" s="11">
        <f t="shared" si="1"/>
        <v>0</v>
      </c>
      <c r="I13" s="9" t="s">
        <v>74</v>
      </c>
      <c r="J13" s="23"/>
      <c r="O13" s="22">
        <v>0.4</v>
      </c>
      <c r="P13" s="28">
        <v>0.15</v>
      </c>
      <c r="Q13" s="22">
        <v>0.15</v>
      </c>
      <c r="R13" s="22">
        <v>0.15</v>
      </c>
      <c r="S13" s="22">
        <v>0.2</v>
      </c>
    </row>
    <row r="14" spans="2:59" x14ac:dyDescent="0.25">
      <c r="B14" s="9" t="s">
        <v>6</v>
      </c>
      <c r="C14" s="9" t="s">
        <v>37</v>
      </c>
      <c r="D14" s="9"/>
      <c r="E14" s="19">
        <v>45888</v>
      </c>
      <c r="F14" s="9" t="str">
        <f t="shared" si="0"/>
        <v>Complete</v>
      </c>
      <c r="G14" s="10">
        <v>1</v>
      </c>
      <c r="H14" s="11">
        <f t="shared" si="1"/>
        <v>1</v>
      </c>
      <c r="I14" s="9" t="s">
        <v>38</v>
      </c>
      <c r="J14" s="23">
        <v>1</v>
      </c>
      <c r="K14" s="22">
        <v>1</v>
      </c>
      <c r="L14" s="22">
        <v>1</v>
      </c>
      <c r="M14" s="22">
        <v>1</v>
      </c>
      <c r="N14" s="22">
        <v>1</v>
      </c>
      <c r="O14" s="22">
        <v>1</v>
      </c>
      <c r="P14" s="28">
        <v>1</v>
      </c>
      <c r="Q14" s="22">
        <v>1</v>
      </c>
      <c r="R14" s="22">
        <v>1</v>
      </c>
      <c r="S14" s="22">
        <v>1</v>
      </c>
    </row>
    <row r="15" spans="2:59" ht="30" x14ac:dyDescent="0.25">
      <c r="B15" s="9" t="s">
        <v>6</v>
      </c>
      <c r="C15" s="9" t="s">
        <v>24</v>
      </c>
      <c r="D15" s="9"/>
      <c r="E15" s="19">
        <v>45919</v>
      </c>
      <c r="F15" s="9" t="str">
        <f t="shared" si="0"/>
        <v>In Progess</v>
      </c>
      <c r="G15" s="10">
        <v>0.7</v>
      </c>
      <c r="H15" s="11">
        <f t="shared" si="1"/>
        <v>0</v>
      </c>
      <c r="I15" s="9" t="s">
        <v>40</v>
      </c>
      <c r="J15" s="23">
        <v>0.7</v>
      </c>
      <c r="K15" s="22">
        <v>0.7</v>
      </c>
      <c r="L15" s="22">
        <v>0.7</v>
      </c>
      <c r="M15" s="22">
        <v>0.7</v>
      </c>
      <c r="N15" s="22">
        <v>0.7</v>
      </c>
      <c r="O15" s="22">
        <v>0.7</v>
      </c>
      <c r="P15" s="28">
        <v>0.7</v>
      </c>
      <c r="Q15" s="22">
        <v>0.7</v>
      </c>
      <c r="R15" s="22">
        <v>0.7</v>
      </c>
      <c r="S15" s="22">
        <v>0.7</v>
      </c>
    </row>
    <row r="16" spans="2:59" ht="30" x14ac:dyDescent="0.25">
      <c r="B16" s="9" t="s">
        <v>7</v>
      </c>
      <c r="C16" s="9" t="s">
        <v>25</v>
      </c>
      <c r="D16" s="9"/>
      <c r="E16" s="19">
        <v>45966</v>
      </c>
      <c r="F16" s="9" t="str">
        <f t="shared" si="0"/>
        <v>In Progess</v>
      </c>
      <c r="G16" s="10">
        <v>0.5</v>
      </c>
      <c r="H16" s="11">
        <f t="shared" si="1"/>
        <v>0</v>
      </c>
      <c r="I16" s="6" t="s">
        <v>70</v>
      </c>
      <c r="J16" s="23">
        <v>0.2</v>
      </c>
      <c r="K16" s="22">
        <v>0.2</v>
      </c>
      <c r="L16" s="22">
        <v>0.2</v>
      </c>
      <c r="M16" s="22">
        <v>0.3</v>
      </c>
      <c r="N16" s="22">
        <v>0.3</v>
      </c>
      <c r="O16" s="22">
        <v>0.3</v>
      </c>
      <c r="P16" s="28">
        <v>0.3</v>
      </c>
      <c r="Q16" s="22">
        <v>0.3</v>
      </c>
      <c r="R16" s="22">
        <v>0.5</v>
      </c>
      <c r="S16" s="22">
        <v>0.5</v>
      </c>
    </row>
    <row r="17" spans="2:19" ht="17.25" customHeight="1" x14ac:dyDescent="0.25">
      <c r="B17" s="9" t="s">
        <v>7</v>
      </c>
      <c r="C17" s="9" t="s">
        <v>20</v>
      </c>
      <c r="D17" s="9"/>
      <c r="E17" s="19">
        <v>45982</v>
      </c>
      <c r="F17" s="9" t="str">
        <f t="shared" si="0"/>
        <v>Complete</v>
      </c>
      <c r="G17" s="10">
        <v>1</v>
      </c>
      <c r="H17" s="11">
        <f t="shared" si="1"/>
        <v>1</v>
      </c>
      <c r="I17" s="6" t="s">
        <v>71</v>
      </c>
      <c r="J17" s="23"/>
      <c r="P17" s="28"/>
      <c r="R17" s="22">
        <v>1</v>
      </c>
      <c r="S17" s="22">
        <v>1</v>
      </c>
    </row>
    <row r="18" spans="2:19" x14ac:dyDescent="0.25">
      <c r="B18" s="9" t="s">
        <v>7</v>
      </c>
      <c r="C18" s="9" t="s">
        <v>21</v>
      </c>
      <c r="D18" s="9"/>
      <c r="E18" s="19">
        <v>45989</v>
      </c>
      <c r="F18" s="9" t="str">
        <f t="shared" si="0"/>
        <v>In Progess</v>
      </c>
      <c r="G18" s="10">
        <v>0.15</v>
      </c>
      <c r="H18" s="11">
        <f t="shared" si="1"/>
        <v>0</v>
      </c>
      <c r="J18" s="23"/>
      <c r="P18" s="28"/>
      <c r="S18" s="22">
        <v>0.15</v>
      </c>
    </row>
    <row r="19" spans="2:19" x14ac:dyDescent="0.25">
      <c r="B19" s="9" t="s">
        <v>7</v>
      </c>
      <c r="C19" s="9" t="s">
        <v>22</v>
      </c>
      <c r="D19" s="9"/>
      <c r="E19" s="19">
        <v>45996</v>
      </c>
      <c r="F19" s="9" t="str">
        <f t="shared" si="0"/>
        <v>Complete</v>
      </c>
      <c r="G19" s="10">
        <v>1</v>
      </c>
      <c r="H19" s="11">
        <f t="shared" si="1"/>
        <v>1</v>
      </c>
      <c r="I19" s="6" t="s">
        <v>77</v>
      </c>
      <c r="J19" s="23"/>
      <c r="P19" s="28"/>
      <c r="S19" s="22">
        <v>1</v>
      </c>
    </row>
    <row r="20" spans="2:19" x14ac:dyDescent="0.25">
      <c r="B20" s="9" t="s">
        <v>7</v>
      </c>
      <c r="C20" s="9" t="s">
        <v>23</v>
      </c>
      <c r="D20" s="9"/>
      <c r="E20" s="19">
        <v>46003</v>
      </c>
      <c r="F20" s="9" t="str">
        <f t="shared" si="0"/>
        <v>In Progess</v>
      </c>
      <c r="G20" s="10">
        <v>0.2</v>
      </c>
      <c r="H20" s="11">
        <f t="shared" si="1"/>
        <v>0</v>
      </c>
      <c r="J20" s="23"/>
      <c r="P20" s="28"/>
      <c r="S20" s="22">
        <v>0.2</v>
      </c>
    </row>
    <row r="21" spans="2:19" ht="105" x14ac:dyDescent="0.25">
      <c r="B21" s="9" t="s">
        <v>8</v>
      </c>
      <c r="C21" s="9" t="s">
        <v>25</v>
      </c>
      <c r="D21" s="9"/>
      <c r="E21" s="19">
        <v>45912</v>
      </c>
      <c r="F21" s="9" t="str">
        <f t="shared" si="0"/>
        <v>In Progess</v>
      </c>
      <c r="G21" s="10">
        <v>0.75</v>
      </c>
      <c r="H21" s="11">
        <f t="shared" si="1"/>
        <v>0</v>
      </c>
      <c r="I21" s="6" t="s">
        <v>52</v>
      </c>
      <c r="J21" s="23"/>
      <c r="L21" s="22">
        <v>0.4</v>
      </c>
      <c r="M21" s="22">
        <v>0.65</v>
      </c>
      <c r="N21" s="22">
        <v>0.75</v>
      </c>
      <c r="O21" s="22">
        <v>0.75</v>
      </c>
      <c r="P21" s="28">
        <v>0.75</v>
      </c>
      <c r="Q21" s="22">
        <v>0.75</v>
      </c>
      <c r="R21" s="22">
        <v>0.75</v>
      </c>
      <c r="S21" s="22">
        <v>0.75</v>
      </c>
    </row>
    <row r="22" spans="2:19" ht="17.25" customHeight="1" x14ac:dyDescent="0.25">
      <c r="B22" s="9" t="s">
        <v>8</v>
      </c>
      <c r="C22" s="9" t="s">
        <v>20</v>
      </c>
      <c r="D22" s="9"/>
      <c r="E22" s="19">
        <v>45919</v>
      </c>
      <c r="F22" s="9" t="str">
        <f t="shared" si="0"/>
        <v>In Progess</v>
      </c>
      <c r="G22" s="10">
        <v>0.2</v>
      </c>
      <c r="H22" s="11">
        <f t="shared" si="1"/>
        <v>0</v>
      </c>
      <c r="J22" s="23"/>
      <c r="L22" s="22">
        <v>0.3</v>
      </c>
      <c r="M22" s="22">
        <v>0.3</v>
      </c>
      <c r="N22" s="22">
        <v>0.2</v>
      </c>
      <c r="O22" s="22">
        <v>0.2</v>
      </c>
      <c r="P22" s="28">
        <v>0.2</v>
      </c>
      <c r="Q22" s="22">
        <v>0.2</v>
      </c>
      <c r="R22" s="22">
        <v>0.2</v>
      </c>
      <c r="S22" s="22">
        <v>0.2</v>
      </c>
    </row>
    <row r="23" spans="2:19" ht="30" x14ac:dyDescent="0.25">
      <c r="B23" s="9" t="s">
        <v>8</v>
      </c>
      <c r="C23" s="9" t="s">
        <v>21</v>
      </c>
      <c r="D23" s="9"/>
      <c r="E23" s="19">
        <v>45952</v>
      </c>
      <c r="F23" s="9" t="str">
        <f t="shared" si="0"/>
        <v>Not Started</v>
      </c>
      <c r="G23" s="10"/>
      <c r="H23" s="11">
        <f t="shared" si="1"/>
        <v>0</v>
      </c>
      <c r="J23" s="23"/>
      <c r="P23" s="28"/>
    </row>
    <row r="24" spans="2:19" x14ac:dyDescent="0.25">
      <c r="B24" s="9" t="s">
        <v>8</v>
      </c>
      <c r="C24" s="9" t="s">
        <v>22</v>
      </c>
      <c r="D24" s="9"/>
      <c r="E24" s="19">
        <v>45959</v>
      </c>
      <c r="F24" s="9" t="str">
        <f t="shared" si="0"/>
        <v>Not Started</v>
      </c>
      <c r="G24" s="10"/>
      <c r="H24" s="11">
        <f t="shared" si="1"/>
        <v>0</v>
      </c>
      <c r="J24" s="23"/>
      <c r="P24" s="28"/>
    </row>
    <row r="25" spans="2:19" x14ac:dyDescent="0.25">
      <c r="B25" s="9" t="s">
        <v>8</v>
      </c>
      <c r="C25" s="9" t="s">
        <v>23</v>
      </c>
      <c r="D25" s="9"/>
      <c r="E25" s="19">
        <v>45967</v>
      </c>
      <c r="F25" s="9" t="str">
        <f t="shared" si="0"/>
        <v>Not Started</v>
      </c>
      <c r="G25" s="10"/>
      <c r="H25" s="11">
        <f t="shared" si="1"/>
        <v>0</v>
      </c>
      <c r="J25" s="23"/>
      <c r="P25" s="28"/>
    </row>
    <row r="26" spans="2:19" ht="49.5" customHeight="1" x14ac:dyDescent="0.25">
      <c r="B26" s="9" t="s">
        <v>2</v>
      </c>
      <c r="C26" s="9" t="s">
        <v>20</v>
      </c>
      <c r="D26" s="9"/>
      <c r="E26" s="19">
        <v>45912</v>
      </c>
      <c r="F26" s="9" t="str">
        <f t="shared" si="0"/>
        <v>Complete</v>
      </c>
      <c r="G26" s="10">
        <v>1</v>
      </c>
      <c r="H26" s="11">
        <f t="shared" si="1"/>
        <v>1</v>
      </c>
      <c r="I26" s="9" t="s">
        <v>51</v>
      </c>
      <c r="J26" s="23">
        <v>0.7</v>
      </c>
      <c r="K26" s="22">
        <v>0.8</v>
      </c>
      <c r="L26" s="22">
        <v>0.95</v>
      </c>
      <c r="M26" s="22">
        <v>0.95</v>
      </c>
      <c r="N26" s="22">
        <v>1</v>
      </c>
      <c r="O26" s="22">
        <v>1</v>
      </c>
      <c r="P26" s="28">
        <v>1</v>
      </c>
      <c r="Q26" s="22">
        <v>1</v>
      </c>
      <c r="R26" s="22">
        <v>1</v>
      </c>
      <c r="S26" s="22">
        <v>1</v>
      </c>
    </row>
    <row r="27" spans="2:19" x14ac:dyDescent="0.25">
      <c r="B27" s="9" t="s">
        <v>2</v>
      </c>
      <c r="C27" s="9" t="s">
        <v>21</v>
      </c>
      <c r="D27" s="12"/>
      <c r="E27" s="19">
        <v>45919</v>
      </c>
      <c r="F27" s="9" t="str">
        <f t="shared" si="0"/>
        <v>Complete</v>
      </c>
      <c r="G27" s="10">
        <v>1</v>
      </c>
      <c r="H27" s="11">
        <f t="shared" si="1"/>
        <v>1</v>
      </c>
      <c r="I27" s="9"/>
      <c r="J27" s="23"/>
      <c r="N27" s="22">
        <v>0.6</v>
      </c>
      <c r="O27" s="22">
        <v>1</v>
      </c>
      <c r="P27" s="28">
        <v>1</v>
      </c>
      <c r="Q27" s="22">
        <v>1</v>
      </c>
      <c r="R27" s="22">
        <v>1</v>
      </c>
      <c r="S27" s="22">
        <v>1</v>
      </c>
    </row>
    <row r="28" spans="2:19" x14ac:dyDescent="0.25">
      <c r="B28" s="9" t="s">
        <v>2</v>
      </c>
      <c r="C28" s="9" t="s">
        <v>22</v>
      </c>
      <c r="D28" s="9"/>
      <c r="E28" s="19">
        <v>45922</v>
      </c>
      <c r="F28" s="9" t="str">
        <f t="shared" si="0"/>
        <v>Complete</v>
      </c>
      <c r="G28" s="10">
        <v>1</v>
      </c>
      <c r="H28" s="11">
        <f t="shared" si="1"/>
        <v>1</v>
      </c>
      <c r="I28" s="9"/>
      <c r="J28" s="23"/>
      <c r="P28" s="28">
        <v>0.75</v>
      </c>
      <c r="Q28" s="22">
        <v>1</v>
      </c>
      <c r="R28" s="22">
        <v>1</v>
      </c>
      <c r="S28" s="22">
        <v>1</v>
      </c>
    </row>
    <row r="29" spans="2:19" x14ac:dyDescent="0.25">
      <c r="B29" s="9" t="s">
        <v>2</v>
      </c>
      <c r="C29" s="9" t="s">
        <v>23</v>
      </c>
      <c r="D29" s="12"/>
      <c r="E29" s="19">
        <v>45959</v>
      </c>
      <c r="F29" s="9" t="str">
        <f t="shared" si="0"/>
        <v>Complete</v>
      </c>
      <c r="G29" s="10">
        <v>1</v>
      </c>
      <c r="H29" s="11">
        <f t="shared" si="1"/>
        <v>1</v>
      </c>
      <c r="I29" s="9"/>
      <c r="J29" s="23"/>
      <c r="P29" s="28"/>
      <c r="Q29" s="22">
        <v>0.1</v>
      </c>
      <c r="R29" s="22">
        <v>0.1</v>
      </c>
      <c r="S29" s="22">
        <v>1</v>
      </c>
    </row>
    <row r="30" spans="2:19" x14ac:dyDescent="0.25">
      <c r="B30" s="9" t="s">
        <v>9</v>
      </c>
      <c r="C30" s="9" t="s">
        <v>25</v>
      </c>
      <c r="D30" s="9"/>
      <c r="E30" s="19">
        <v>45926</v>
      </c>
      <c r="F30" s="9" t="str">
        <f t="shared" si="0"/>
        <v>Complete</v>
      </c>
      <c r="G30" s="10">
        <v>1</v>
      </c>
      <c r="H30" s="11">
        <f t="shared" si="1"/>
        <v>1</v>
      </c>
      <c r="I30" t="s">
        <v>76</v>
      </c>
      <c r="J30" s="23"/>
      <c r="L30" s="22">
        <v>0.5</v>
      </c>
      <c r="M30" s="22">
        <v>0.8</v>
      </c>
      <c r="N30" s="22">
        <v>0.8</v>
      </c>
      <c r="O30" s="22">
        <v>0.8</v>
      </c>
      <c r="P30" s="28">
        <v>0.8</v>
      </c>
      <c r="Q30" s="22">
        <v>0.8</v>
      </c>
      <c r="R30" s="22">
        <v>1</v>
      </c>
      <c r="S30" s="22">
        <v>1</v>
      </c>
    </row>
    <row r="31" spans="2:19" ht="17.25" customHeight="1" x14ac:dyDescent="0.25">
      <c r="B31" s="9" t="s">
        <v>9</v>
      </c>
      <c r="C31" s="9" t="s">
        <v>20</v>
      </c>
      <c r="D31" s="9"/>
      <c r="E31" s="19">
        <v>45931</v>
      </c>
      <c r="F31" s="9" t="str">
        <f t="shared" si="0"/>
        <v>Complete</v>
      </c>
      <c r="G31" s="10">
        <v>1</v>
      </c>
      <c r="H31" s="11">
        <f t="shared" si="1"/>
        <v>1</v>
      </c>
      <c r="I31" s="9" t="s">
        <v>75</v>
      </c>
      <c r="J31" s="23"/>
      <c r="L31" s="22">
        <v>0.5</v>
      </c>
      <c r="M31" s="22">
        <v>0.5</v>
      </c>
      <c r="N31" s="22">
        <v>0.5</v>
      </c>
      <c r="O31" s="22">
        <v>0.5</v>
      </c>
      <c r="P31" s="28">
        <v>0.5</v>
      </c>
      <c r="Q31" s="22">
        <v>0.5</v>
      </c>
      <c r="R31" s="22">
        <v>0.85</v>
      </c>
      <c r="S31" s="22">
        <v>1</v>
      </c>
    </row>
    <row r="32" spans="2:19" x14ac:dyDescent="0.25">
      <c r="B32" s="9" t="s">
        <v>9</v>
      </c>
      <c r="C32" s="9" t="s">
        <v>21</v>
      </c>
      <c r="D32" s="12"/>
      <c r="E32" s="19">
        <v>45938</v>
      </c>
      <c r="F32" s="9" t="str">
        <f t="shared" si="0"/>
        <v>Complete</v>
      </c>
      <c r="G32" s="10">
        <v>1</v>
      </c>
      <c r="H32" s="11">
        <f t="shared" si="1"/>
        <v>1</v>
      </c>
      <c r="I32" s="9"/>
      <c r="J32" s="23"/>
      <c r="P32" s="28"/>
      <c r="R32" s="22">
        <v>0.15</v>
      </c>
      <c r="S32" s="22">
        <v>1</v>
      </c>
    </row>
    <row r="33" spans="2:19" x14ac:dyDescent="0.25">
      <c r="B33" s="9" t="s">
        <v>9</v>
      </c>
      <c r="C33" s="9" t="s">
        <v>22</v>
      </c>
      <c r="D33" s="9"/>
      <c r="E33" s="19">
        <v>45945</v>
      </c>
      <c r="F33" s="9" t="str">
        <f t="shared" si="0"/>
        <v>Complete</v>
      </c>
      <c r="G33" s="10">
        <v>1</v>
      </c>
      <c r="H33" s="11">
        <f t="shared" si="1"/>
        <v>1</v>
      </c>
      <c r="I33" s="9"/>
      <c r="J33" s="23"/>
      <c r="P33" s="28"/>
      <c r="S33" s="22">
        <v>1</v>
      </c>
    </row>
    <row r="34" spans="2:19" x14ac:dyDescent="0.25">
      <c r="B34" s="9" t="s">
        <v>9</v>
      </c>
      <c r="C34" s="9" t="s">
        <v>23</v>
      </c>
      <c r="D34" s="12"/>
      <c r="E34" s="19">
        <v>45952</v>
      </c>
      <c r="F34" s="9" t="str">
        <f t="shared" si="0"/>
        <v>Complete</v>
      </c>
      <c r="G34" s="10">
        <v>1</v>
      </c>
      <c r="H34" s="11">
        <f t="shared" si="1"/>
        <v>1</v>
      </c>
      <c r="I34" s="9"/>
      <c r="J34" s="23"/>
      <c r="P34" s="28"/>
      <c r="S34" s="22">
        <v>1</v>
      </c>
    </row>
    <row r="35" spans="2:19" ht="30" x14ac:dyDescent="0.25">
      <c r="B35" s="9" t="s">
        <v>36</v>
      </c>
      <c r="C35" s="9" t="s">
        <v>21</v>
      </c>
      <c r="D35" s="9"/>
      <c r="E35" s="19">
        <v>45919</v>
      </c>
      <c r="F35" s="9" t="str">
        <f t="shared" si="0"/>
        <v>Complete</v>
      </c>
      <c r="G35" s="10">
        <v>1</v>
      </c>
      <c r="H35" s="11">
        <f t="shared" si="1"/>
        <v>1</v>
      </c>
      <c r="I35" s="9"/>
      <c r="J35" s="23">
        <v>0.9</v>
      </c>
      <c r="K35" s="22">
        <v>0.9</v>
      </c>
      <c r="L35" s="22">
        <v>0.9</v>
      </c>
      <c r="M35" s="22">
        <v>0.9</v>
      </c>
      <c r="N35" s="22">
        <v>0.9</v>
      </c>
      <c r="O35" s="22">
        <v>1</v>
      </c>
      <c r="P35" s="28">
        <v>1</v>
      </c>
      <c r="Q35" s="22">
        <v>1</v>
      </c>
      <c r="R35" s="22">
        <v>1</v>
      </c>
      <c r="S35" s="22">
        <v>1</v>
      </c>
    </row>
    <row r="36" spans="2:19" x14ac:dyDescent="0.25">
      <c r="B36" s="9" t="s">
        <v>36</v>
      </c>
      <c r="C36" s="9" t="s">
        <v>22</v>
      </c>
      <c r="D36" s="9"/>
      <c r="E36" s="19">
        <v>45938</v>
      </c>
      <c r="F36" s="9" t="str">
        <f t="shared" si="0"/>
        <v>Complete</v>
      </c>
      <c r="G36" s="10">
        <v>1</v>
      </c>
      <c r="H36" s="11">
        <f t="shared" si="1"/>
        <v>1</v>
      </c>
      <c r="I36" s="9"/>
      <c r="J36" s="23"/>
      <c r="N36" s="22">
        <v>0.2</v>
      </c>
      <c r="O36" s="22">
        <v>0.2</v>
      </c>
      <c r="P36" s="28">
        <v>1</v>
      </c>
      <c r="Q36" s="22">
        <v>1</v>
      </c>
      <c r="R36" s="22">
        <v>1</v>
      </c>
      <c r="S36" s="22">
        <v>1</v>
      </c>
    </row>
    <row r="37" spans="2:19" x14ac:dyDescent="0.25">
      <c r="B37" s="9" t="s">
        <v>36</v>
      </c>
      <c r="C37" s="9" t="s">
        <v>23</v>
      </c>
      <c r="D37" s="12"/>
      <c r="E37" s="19">
        <v>45945</v>
      </c>
      <c r="F37" s="9" t="str">
        <f t="shared" si="0"/>
        <v>In Progess</v>
      </c>
      <c r="G37" s="10">
        <v>0.4</v>
      </c>
      <c r="H37" s="11">
        <f t="shared" si="1"/>
        <v>0</v>
      </c>
      <c r="I37" s="9"/>
      <c r="J37" s="23"/>
      <c r="O37" s="22">
        <v>0.4</v>
      </c>
      <c r="P37" s="28">
        <v>0.4</v>
      </c>
      <c r="Q37" s="22">
        <v>0.4</v>
      </c>
      <c r="R37" s="22">
        <v>0.4</v>
      </c>
      <c r="S37" s="22">
        <v>0.4</v>
      </c>
    </row>
    <row r="38" spans="2:19" ht="75" x14ac:dyDescent="0.25">
      <c r="B38" s="9" t="s">
        <v>26</v>
      </c>
      <c r="C38" s="9" t="s">
        <v>47</v>
      </c>
      <c r="D38" s="9"/>
      <c r="E38" s="19">
        <v>45910</v>
      </c>
      <c r="F38" s="9" t="str">
        <f t="shared" si="0"/>
        <v>Complete</v>
      </c>
      <c r="G38" s="10">
        <v>1</v>
      </c>
      <c r="H38" s="11">
        <f t="shared" si="1"/>
        <v>1</v>
      </c>
      <c r="I38" s="9" t="s">
        <v>46</v>
      </c>
      <c r="J38" s="23">
        <v>0.85</v>
      </c>
      <c r="K38" s="22">
        <v>0.95</v>
      </c>
      <c r="L38" s="22">
        <v>0.99</v>
      </c>
      <c r="M38" s="22">
        <v>0.99</v>
      </c>
      <c r="N38" s="22">
        <v>0.99</v>
      </c>
      <c r="O38" s="22">
        <v>1</v>
      </c>
      <c r="P38" s="28">
        <v>1</v>
      </c>
      <c r="Q38" s="22">
        <v>1</v>
      </c>
      <c r="R38" s="22">
        <v>1</v>
      </c>
      <c r="S38" s="22">
        <v>1</v>
      </c>
    </row>
    <row r="39" spans="2:19" x14ac:dyDescent="0.25">
      <c r="B39" s="9" t="s">
        <v>26</v>
      </c>
      <c r="C39" s="9" t="s">
        <v>22</v>
      </c>
      <c r="D39" s="9"/>
      <c r="E39" s="19">
        <v>45912</v>
      </c>
      <c r="F39" s="9" t="str">
        <f t="shared" si="0"/>
        <v>Complete</v>
      </c>
      <c r="G39" s="10">
        <v>1</v>
      </c>
      <c r="H39" s="11">
        <f t="shared" si="1"/>
        <v>1</v>
      </c>
      <c r="I39" s="9" t="s">
        <v>35</v>
      </c>
      <c r="J39" s="23">
        <v>0.8</v>
      </c>
      <c r="K39" s="22">
        <v>0.9</v>
      </c>
      <c r="L39" s="22">
        <v>0.95</v>
      </c>
      <c r="M39" s="22">
        <v>0.95</v>
      </c>
      <c r="N39" s="22">
        <v>0.95</v>
      </c>
      <c r="O39" s="22">
        <v>1</v>
      </c>
      <c r="P39" s="28">
        <v>1</v>
      </c>
      <c r="Q39" s="22">
        <v>1</v>
      </c>
      <c r="R39" s="22">
        <v>1</v>
      </c>
      <c r="S39" s="22">
        <v>1</v>
      </c>
    </row>
    <row r="40" spans="2:19" ht="30" x14ac:dyDescent="0.25">
      <c r="B40" s="9" t="s">
        <v>26</v>
      </c>
      <c r="C40" s="9" t="s">
        <v>39</v>
      </c>
      <c r="D40" s="9" t="s">
        <v>61</v>
      </c>
      <c r="E40" s="19">
        <v>45973</v>
      </c>
      <c r="F40" s="9" t="str">
        <f t="shared" ref="F40" si="2">IF(G40=1,"Complete",IF(G40&lt;&gt;0,"In Progess","Not Started"))</f>
        <v>In Progess</v>
      </c>
      <c r="G40" s="10">
        <v>0.95</v>
      </c>
      <c r="H40" s="11">
        <f t="shared" ref="H40" si="3">--(G40&gt;=1)</f>
        <v>0</v>
      </c>
      <c r="I40" s="9" t="s">
        <v>68</v>
      </c>
      <c r="J40" s="23">
        <v>0.2</v>
      </c>
      <c r="K40" s="22">
        <v>0.2</v>
      </c>
      <c r="L40" s="22">
        <v>0.2</v>
      </c>
      <c r="M40" s="22">
        <v>0.2</v>
      </c>
      <c r="N40" s="22">
        <v>0.2</v>
      </c>
      <c r="O40" s="22">
        <v>0.6</v>
      </c>
      <c r="P40" s="28">
        <v>0.95</v>
      </c>
      <c r="Q40" s="22">
        <v>0.95</v>
      </c>
      <c r="R40" s="22">
        <v>0.95</v>
      </c>
      <c r="S40" s="22">
        <v>0.95</v>
      </c>
    </row>
    <row r="41" spans="2:19" x14ac:dyDescent="0.25">
      <c r="B41" s="9" t="s">
        <v>10</v>
      </c>
      <c r="C41" s="9" t="s">
        <v>27</v>
      </c>
      <c r="D41" s="12"/>
      <c r="E41" s="19">
        <v>45912</v>
      </c>
      <c r="F41" s="9" t="str">
        <f t="shared" si="0"/>
        <v>Complete</v>
      </c>
      <c r="G41" s="10">
        <v>1</v>
      </c>
      <c r="H41" s="11">
        <f t="shared" si="1"/>
        <v>1</v>
      </c>
      <c r="I41" s="9"/>
      <c r="J41" s="23">
        <v>0.6</v>
      </c>
      <c r="K41" s="22">
        <v>0.6</v>
      </c>
      <c r="L41" s="22">
        <v>0.6</v>
      </c>
      <c r="M41" s="22">
        <v>0.6</v>
      </c>
      <c r="N41" s="22">
        <v>0.75</v>
      </c>
      <c r="O41" s="22">
        <v>1</v>
      </c>
      <c r="P41" s="28">
        <v>1</v>
      </c>
      <c r="Q41" s="22">
        <v>1</v>
      </c>
      <c r="R41" s="22">
        <v>1</v>
      </c>
      <c r="S41" s="22">
        <v>1</v>
      </c>
    </row>
    <row r="42" spans="2:19" ht="30" x14ac:dyDescent="0.25">
      <c r="B42" s="7" t="s">
        <v>28</v>
      </c>
      <c r="C42" s="9" t="s">
        <v>32</v>
      </c>
      <c r="D42" s="7"/>
      <c r="E42" s="19">
        <v>45879</v>
      </c>
      <c r="F42" s="9" t="str">
        <f t="shared" si="0"/>
        <v>Complete</v>
      </c>
      <c r="G42" s="10">
        <v>1</v>
      </c>
      <c r="H42" s="11">
        <f t="shared" si="1"/>
        <v>1</v>
      </c>
      <c r="I42" s="9"/>
      <c r="J42" s="23">
        <v>1</v>
      </c>
      <c r="K42" s="22">
        <v>1</v>
      </c>
      <c r="L42" s="22">
        <v>1</v>
      </c>
      <c r="M42" s="22">
        <v>1</v>
      </c>
      <c r="N42" s="22">
        <v>1</v>
      </c>
      <c r="O42" s="22">
        <v>1</v>
      </c>
      <c r="P42" s="28">
        <v>1</v>
      </c>
      <c r="Q42" s="22">
        <v>1</v>
      </c>
      <c r="R42" s="22">
        <v>1</v>
      </c>
      <c r="S42" s="22">
        <v>1</v>
      </c>
    </row>
    <row r="43" spans="2:19" x14ac:dyDescent="0.25">
      <c r="B43" s="7" t="s">
        <v>11</v>
      </c>
      <c r="C43" s="9" t="s">
        <v>33</v>
      </c>
      <c r="D43" s="7"/>
      <c r="E43" s="19">
        <v>45879</v>
      </c>
      <c r="F43" s="9" t="str">
        <f t="shared" si="0"/>
        <v>Complete</v>
      </c>
      <c r="G43" s="10">
        <v>1</v>
      </c>
      <c r="H43" s="11">
        <f t="shared" si="1"/>
        <v>1</v>
      </c>
      <c r="I43" s="9"/>
      <c r="J43" s="23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8">
        <v>1</v>
      </c>
      <c r="Q43" s="22">
        <v>1</v>
      </c>
      <c r="R43" s="22">
        <v>1</v>
      </c>
      <c r="S43" s="22">
        <v>1</v>
      </c>
    </row>
    <row r="44" spans="2:19" ht="30" x14ac:dyDescent="0.25">
      <c r="B44" s="7" t="s">
        <v>15</v>
      </c>
      <c r="C44" s="9" t="s">
        <v>29</v>
      </c>
      <c r="D44" s="12"/>
      <c r="E44" s="19">
        <v>45912</v>
      </c>
      <c r="F44" s="9" t="str">
        <f t="shared" si="0"/>
        <v>In Progess</v>
      </c>
      <c r="G44" s="13">
        <v>0.99</v>
      </c>
      <c r="H44" s="11">
        <f t="shared" si="1"/>
        <v>0</v>
      </c>
      <c r="I44" s="9"/>
      <c r="J44" s="23">
        <v>0.8</v>
      </c>
      <c r="K44" s="22">
        <v>0.8</v>
      </c>
      <c r="L44" s="22">
        <v>0.95</v>
      </c>
      <c r="M44" s="22">
        <v>0.99</v>
      </c>
      <c r="N44" s="22">
        <v>0.99</v>
      </c>
      <c r="O44" s="22">
        <v>0.99</v>
      </c>
      <c r="P44" s="29">
        <v>0.99</v>
      </c>
      <c r="Q44" s="22">
        <v>0.99</v>
      </c>
      <c r="R44" s="22">
        <v>0.99</v>
      </c>
      <c r="S44" s="22">
        <v>0.99</v>
      </c>
    </row>
    <row r="45" spans="2:19" ht="45" x14ac:dyDescent="0.25">
      <c r="B45" s="7" t="s">
        <v>15</v>
      </c>
      <c r="C45" s="9" t="s">
        <v>69</v>
      </c>
      <c r="D45" s="12"/>
      <c r="E45" s="19">
        <v>46010</v>
      </c>
      <c r="F45" s="9" t="str">
        <f t="shared" si="0"/>
        <v>Complete</v>
      </c>
      <c r="G45" s="13">
        <v>1</v>
      </c>
      <c r="H45" s="11">
        <f t="shared" si="1"/>
        <v>1</v>
      </c>
      <c r="I45" s="9"/>
      <c r="J45" s="23"/>
      <c r="P45" s="29">
        <v>0.1</v>
      </c>
      <c r="Q45" s="22">
        <v>0.1</v>
      </c>
      <c r="R45" s="22">
        <v>1</v>
      </c>
      <c r="S45" s="22">
        <v>1</v>
      </c>
    </row>
    <row r="46" spans="2:19" x14ac:dyDescent="0.25">
      <c r="B46" s="7" t="s">
        <v>16</v>
      </c>
      <c r="C46" s="9" t="s">
        <v>30</v>
      </c>
      <c r="D46" s="12"/>
      <c r="E46" s="19">
        <v>46010</v>
      </c>
      <c r="F46" s="9" t="str">
        <f t="shared" si="0"/>
        <v>In Progess</v>
      </c>
      <c r="G46" s="13">
        <v>0.7</v>
      </c>
      <c r="H46" s="11">
        <f t="shared" si="1"/>
        <v>0</v>
      </c>
      <c r="I46" s="9"/>
      <c r="J46" s="23">
        <v>0.5</v>
      </c>
      <c r="K46" s="22">
        <v>0.5</v>
      </c>
      <c r="L46" s="22">
        <v>0.5</v>
      </c>
      <c r="M46" s="22">
        <v>0.5</v>
      </c>
      <c r="N46" s="22">
        <v>0.5</v>
      </c>
      <c r="O46" s="22">
        <v>0.7</v>
      </c>
      <c r="P46" s="29">
        <v>0.7</v>
      </c>
      <c r="Q46" s="22">
        <v>0.7</v>
      </c>
      <c r="R46" s="22">
        <v>0.7</v>
      </c>
      <c r="S46" s="22">
        <v>0.7</v>
      </c>
    </row>
    <row r="47" spans="2:19" ht="30" x14ac:dyDescent="0.25">
      <c r="B47" s="7" t="s">
        <v>17</v>
      </c>
      <c r="C47" s="9" t="s">
        <v>31</v>
      </c>
      <c r="D47" s="12"/>
      <c r="E47" s="19">
        <v>45971</v>
      </c>
      <c r="F47" s="9" t="str">
        <f t="shared" si="0"/>
        <v>In Progess</v>
      </c>
      <c r="G47" s="13">
        <v>0.6</v>
      </c>
      <c r="H47" s="11">
        <f t="shared" si="1"/>
        <v>0</v>
      </c>
      <c r="I47" s="9"/>
      <c r="J47" s="23">
        <v>0.5</v>
      </c>
      <c r="K47" s="22">
        <v>0.5</v>
      </c>
      <c r="L47" s="22">
        <v>0.5</v>
      </c>
      <c r="M47" s="22">
        <v>0.5</v>
      </c>
      <c r="N47" s="22">
        <v>0.5</v>
      </c>
      <c r="O47" s="22">
        <v>0.5</v>
      </c>
      <c r="P47" s="29">
        <v>0.5</v>
      </c>
      <c r="Q47" s="22">
        <v>0.5</v>
      </c>
      <c r="R47" s="22">
        <v>0.5</v>
      </c>
      <c r="S47" s="22">
        <v>0.6</v>
      </c>
    </row>
    <row r="48" spans="2:19" ht="45" x14ac:dyDescent="0.25">
      <c r="B48" t="s">
        <v>53</v>
      </c>
      <c r="C48" s="6" t="s">
        <v>54</v>
      </c>
      <c r="E48" s="20">
        <v>46010</v>
      </c>
      <c r="F48" s="9" t="str">
        <f t="shared" si="0"/>
        <v>Complete</v>
      </c>
      <c r="G48" s="24">
        <v>1</v>
      </c>
      <c r="H48" s="25">
        <f t="shared" si="1"/>
        <v>1</v>
      </c>
      <c r="L48" s="22">
        <v>0</v>
      </c>
      <c r="M48" s="22">
        <v>0</v>
      </c>
      <c r="N48" s="22">
        <v>0</v>
      </c>
      <c r="O48" s="22">
        <v>0</v>
      </c>
      <c r="P48" s="24">
        <v>0.15</v>
      </c>
      <c r="Q48" s="22">
        <v>0.7</v>
      </c>
      <c r="R48" s="22">
        <v>0.8</v>
      </c>
      <c r="S48" s="22">
        <v>1</v>
      </c>
    </row>
    <row r="49" spans="2:19" x14ac:dyDescent="0.25">
      <c r="B49" t="s">
        <v>55</v>
      </c>
      <c r="C49" s="6" t="s">
        <v>56</v>
      </c>
      <c r="E49" s="20">
        <v>45918</v>
      </c>
      <c r="F49" s="9" t="str">
        <f t="shared" si="0"/>
        <v>Complete</v>
      </c>
      <c r="G49" s="24">
        <v>1</v>
      </c>
      <c r="H49" s="25">
        <f t="shared" si="1"/>
        <v>1</v>
      </c>
      <c r="M49" s="22">
        <v>1</v>
      </c>
      <c r="N49" s="22">
        <v>1</v>
      </c>
      <c r="O49" s="22">
        <v>1</v>
      </c>
      <c r="P49" s="24">
        <v>1</v>
      </c>
      <c r="Q49" s="22">
        <v>1</v>
      </c>
      <c r="R49" s="22">
        <v>1</v>
      </c>
      <c r="S49" s="22">
        <v>1</v>
      </c>
    </row>
  </sheetData>
  <autoFilter ref="B3:BG47" xr:uid="{825F216F-6A2C-43F0-976D-4459909E096A}"/>
  <conditionalFormatting sqref="G4:G49">
    <cfRule type="dataBar" priority="2">
      <dataBar>
        <cfvo type="num" val="0"/>
        <cfvo type="num" val="1"/>
        <color theme="7" tint="0.59999389629810485"/>
      </dataBar>
      <extLst>
        <ext xmlns:x14="http://schemas.microsoft.com/office/spreadsheetml/2009/9/main" uri="{B025F937-C7B1-47D3-B67F-A62EFF666E3E}">
          <x14:id>{C035C468-BF81-4398-9ECF-8D5E9F768BD9}</x14:id>
        </ext>
      </extLst>
    </cfRule>
  </conditionalFormatting>
  <dataValidations count="8">
    <dataValidation allowBlank="1" showInputMessage="1" showErrorMessage="1" prompt="Select % Complete in this column. Press ALT+DOWN ARROW to open the drop-down list, then ENTER to make selection. A status bar indicates progress toward completion" sqref="G3" xr:uid="{151F9C2E-C41F-40E3-927F-E5E520954D3E}"/>
    <dataValidation allowBlank="1" showInputMessage="1" showErrorMessage="1" prompt="Worksheet title is in this cell" sqref="D1:D2 B1" xr:uid="{CF4F781A-1C6C-43E6-9F83-4F93D6CA6007}"/>
    <dataValidation allowBlank="1" showInputMessage="1" showErrorMessage="1" prompt="Select Priority in this column under this heading. Press ALT+DOWN ARROW to open the drop-down list, then ENTER to make selection" sqref="E3" xr:uid="{95C292DB-FCE2-44BC-8E59-4B8265833898}"/>
    <dataValidation allowBlank="1" showInputMessage="1" showErrorMessage="1" prompt="Select Status in this column under this heading.  Press ALT+DOWN ARROW to open the drop-down list, then ENTER to make selection" sqref="F3" xr:uid="{EC11B83B-A91F-4C11-ADB1-45F408735AAF}"/>
    <dataValidation allowBlank="1" showInputMessage="1" showErrorMessage="1" prompt="Enter Start Date in this column under this heading" sqref="J3" xr:uid="{B097AD3D-83FE-4DB6-8AA6-82D58880DEE8}"/>
    <dataValidation allowBlank="1" showInputMessage="1" showErrorMessage="1" prompt="Icon indicator for task completion in this column under this heading is automatically updated as tasks complete" sqref="H3" xr:uid="{E57FD015-A334-4A3D-9540-92E1D8A918A9}"/>
    <dataValidation allowBlank="1" showInputMessage="1" showErrorMessage="1" prompt="Enter Task in this column under this heading. Use heading filters to find specific entries" sqref="B3:D3" xr:uid="{6FDCA3F5-F6F1-45FB-8AE7-E90C5E60E365}"/>
    <dataValidation type="list" errorStyle="warning" allowBlank="1" showInputMessage="1" showErrorMessage="1" error="Select entry from the list. Select CANCEL, then press ALT+DOWN ARROW to navigate the list. Select ENTER to make selection" sqref="F4:F49" xr:uid="{90892BC2-20A5-4151-9864-7558336C2FE7}">
      <formula1>"Not Started, In Progress, Deferred, Complete"</formula1>
    </dataValidation>
  </dataValidations>
  <pageMargins left="0.7" right="0.7" top="0.75" bottom="0.75" header="0.3" footer="0.3"/>
  <pageSetup orientation="landscape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35C468-BF81-4398-9ECF-8D5E9F768B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G4:G49</xm:sqref>
        </x14:conditionalFormatting>
        <x14:conditionalFormatting xmlns:xm="http://schemas.microsoft.com/office/excel/2006/main">
          <x14:cfRule type="iconSet" priority="22" id="{E713B901-0E7B-40B8-A534-1C73C66CF3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" iconId="2"/>
            </x14:iconSet>
          </x14:cfRule>
          <xm:sqref>H4:H49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3325-1FFB-4B92-8120-662513F1034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3422A7FFD03AF47B40E3148D61510DD" ma:contentTypeVersion="10" ma:contentTypeDescription="Opprett et nytt dokument." ma:contentTypeScope="" ma:versionID="93a5827b91256c075a5bcdb454d162de">
  <xsd:schema xmlns:xsd="http://www.w3.org/2001/XMLSchema" xmlns:xs="http://www.w3.org/2001/XMLSchema" xmlns:p="http://schemas.microsoft.com/office/2006/metadata/properties" xmlns:ns2="7ae1cb1b-b89b-4b35-8dc1-6b34b6393ff0" xmlns:ns3="b6192152-6ac4-477a-b62a-2f500fcdf3b6" targetNamespace="http://schemas.microsoft.com/office/2006/metadata/properties" ma:root="true" ma:fieldsID="13127a08f307124b01356346b67d6a81" ns2:_="" ns3:_="">
    <xsd:import namespace="7ae1cb1b-b89b-4b35-8dc1-6b34b6393ff0"/>
    <xsd:import namespace="b6192152-6ac4-477a-b62a-2f500fcdf3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1cb1b-b89b-4b35-8dc1-6b34b6393f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92152-6ac4-477a-b62a-2f500fcdf3b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E334B8-DB7D-495D-B7B7-7E69CDC1BE08}">
  <ds:schemaRefs>
    <ds:schemaRef ds:uri="http://purl.org/dc/elements/1.1/"/>
    <ds:schemaRef ds:uri="7ae1cb1b-b89b-4b35-8dc1-6b34b6393ff0"/>
    <ds:schemaRef ds:uri="http://schemas.microsoft.com/office/2006/documentManagement/types"/>
    <ds:schemaRef ds:uri="b6192152-6ac4-477a-b62a-2f500fcdf3b6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CED3C9C-630D-4C4B-A736-44AEC9EEC0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e1cb1b-b89b-4b35-8dc1-6b34b6393ff0"/>
    <ds:schemaRef ds:uri="b6192152-6ac4-477a-b62a-2f500fcdf3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81441C-10B0-478C-AED5-6210518ADF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Status</vt:lpstr>
      <vt:lpstr>AdditionalActivities</vt:lpstr>
      <vt:lpstr>Status!Print_Area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Tonia Pedersen</dc:creator>
  <cp:lastModifiedBy>Tonia Pedersen</cp:lastModifiedBy>
  <dcterms:created xsi:type="dcterms:W3CDTF">2025-08-14T13:19:54Z</dcterms:created>
  <dcterms:modified xsi:type="dcterms:W3CDTF">2025-11-03T14:23:05Z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0x010100C3422A7FFD03AF47B40E3148D61510DD</vt:lpwstr>
  </property>
</Properties>
</file>