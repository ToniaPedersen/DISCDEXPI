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EA1742E3-594E-4753-8A65-28C62BEB70C4}" xr6:coauthVersionLast="47" xr6:coauthVersionMax="47" xr10:uidLastSave="{00000000-0000-0000-0000-000000000000}"/>
  <bookViews>
    <workbookView xWindow="-12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<sst xmlns="http://schemas.openxmlformats.org/spreadsheetml/2006/main" count="129" uniqueCount="76">
  <si>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</si>
  <si>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</si>
  <si>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</si>
  <si>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</si>
  <si>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</si>
  <si>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</si>
  <si>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</si>
  <si>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</si>
  <si>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</si>
  <si>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</si>
  <si>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</si>
  <si>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</si>
  <si>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</si>
  <si>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</si>
  <si>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</si>
  <si>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</si>
  <si>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</si>
  <si>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</si>
  <si>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</si>
  <si>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</si>
  <si>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</si>
  <si>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</si>
  <si>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</si>
  <si>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</si>
  <si>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</si>
  <si>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</si>
  <si>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</si>
  <si>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</si>
  <si>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</si>
  <si>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</si>
  <si>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</si>
  <si>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</si>
  <si>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</si>
  <si>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</si>
  <si>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</si>
  <si>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</si>
  <si>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</si>
  <si>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</si>
  <si>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</si>
  <si>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</si>
  <si>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</si>
  <si>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</si>
  <si>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</si>
  <si>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</si>
  <si>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</si>
  <si>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</si>
  <si>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</si>
  <si>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</si>
  <si>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</si>
  <si>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</si>
  <si>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</si>
  <si>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</si>
  <si>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</si>
  <si>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</si>
  <si>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</si>
  <si>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</si>
  <si>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</si>
  <si>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</si>
  <si>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</si>
  <si>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</si>
  <si>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</si>
  <si>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</si>
  <si>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</si>
  <si>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</si>
  <si>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</si>
  <si>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</si>
  <si>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</si>
  <si>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</si>
  <si>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>Waiting on name suggestions for sub-types</t>
  </si>
  <si>
    <t>Add sub-types to SignalConveyingFunction</t>
  </si>
  <si>
    <t>Checking html symbol info, type code enum &amp; node type discussion, finish including description.</t>
  </si>
  <si>
    <t xml:space="preserve">Default L-&gt;R for not in-line elements.
L-&gt;R for in-line or B-&gt;T </t>
  </si>
  <si>
    <t>Create blueprint examples for  requirements in both serialization formats.</t>
  </si>
  <si>
    <t>Good model - need to warn about minimum length for symbol</t>
  </si>
  <si>
    <t>Available in DEXPI 2.0 xml</t>
  </si>
  <si>
    <t>Not needed as can be managed in DEXPI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</si>
</sst>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1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  <xf numFmtId="0" fontId="0" fillId="0" borderId="0" xfId="0" applyFill="1" applyBorder="1" applyAlignment="1">
      <alignment wrapText="1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R4" sqref="R4:R49"/>
    </sheetView>
  </sheetViews>
  <sheetFormatPr defaultRowHeight="15" x14ac:dyDescent="0.25"/>
  <cols>
    <col min="1" max="1" width="5.85546875" customWidth="1"/>
    <col min="2" max="2" width="38.85546875" customWidth="1"/>
    <col min="3" max="3" width="38.5703125" customWidth="1"/>
    <col min="4" max="4" width="19.28515625" customWidth="1"/>
    <col min="5" max="5" width="22.7109375" style="20" customWidth="1"/>
    <col min="6" max="6" width="14.42578125" customWidth="1"/>
    <col min="7" max="7" width="25.855468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customWidth="1"/>
    <col min="16" max="16" width="16.42578125" customWidth="1"/>
    <col min="17" max="17" width="15.7109375" style="22" customWidth="1"/>
    <col min="18" max="18" width="19.140625" style="22" customWidth="1"/>
    <col min="19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42</v>
      </c>
      <c r="F3" s="2" t="s">
        <v>45</v>
      </c>
      <c r="G3" s="5" t="s">
        <v>46</v>
      </c>
      <c r="H3" s="3" t="s">
        <v>1</v>
      </c>
      <c r="I3" s="5" t="s">
        <v>44</v>
      </c>
      <c r="J3" s="21" t="s">
        <v>43</v>
      </c>
      <c r="K3" s="21" t="s">
        <v>50</v>
      </c>
      <c r="L3" s="21" t="s">
        <v>51</v>
      </c>
      <c r="M3" s="21" t="s">
        <v>58</v>
      </c>
      <c r="N3" s="21" t="s">
        <v>61</v>
      </c>
      <c r="O3" s="21" t="s">
        <v>63</v>
      </c>
      <c r="P3" s="27" t="s">
        <v>65</v>
      </c>
      <c r="Q3" s="27" t="s">
        <v>66</v>
      </c>
      <c r="R3" s="27" t="s">
        <v>67</v>
      </c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90" x14ac:dyDescent="0.25">
      <c r="B4" s="9" t="s">
        <v>12</v>
      </c>
      <c r="C4" s="9" t="s">
        <v>13</v>
      </c>
      <c r="D4" s="9" t="s">
        <v>64</v>
      </c>
      <c r="E4" s="19">
        <v>46010</v>
      </c>
      <c r="F4" s="9" t="str">
        <f>IF(G4=1,"Complete",IF(G4&lt;&gt;0,"In Progess","Not Started"))</f>
        <v>In Progess</v>
      </c>
      <c r="G4" s="10">
        <v>0.9</v>
      </c>
      <c r="H4" s="11">
        <f>--(G4&gt;=1)</f>
        <v>0</v>
      </c>
      <c r="I4" s="9"/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</row>
    <row r="5" spans="2:59" ht="45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0.95</v>
      </c>
      <c r="H5" s="11">
        <f t="shared" ref="H5:H49" si="1">--(G5&gt;=1)</f>
        <v>0</v>
      </c>
      <c r="I5" s="9" t="s">
        <v>70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</row>
    <row r="7" spans="2:59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</row>
    <row r="8" spans="2:59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</row>
    <row r="9" spans="2:59" x14ac:dyDescent="0.25">
      <c r="B9" s="9" t="s">
        <v>3</v>
      </c>
      <c r="C9" s="9" t="s">
        <v>23</v>
      </c>
      <c r="D9" s="9"/>
      <c r="E9" s="19">
        <v>45870</v>
      </c>
      <c r="F9" s="9" t="str">
        <f t="shared" si="0"/>
        <v>In Progess</v>
      </c>
      <c r="G9" s="10">
        <v>0.1</v>
      </c>
      <c r="H9" s="11">
        <f t="shared" si="1"/>
        <v>0</v>
      </c>
      <c r="I9" s="9"/>
      <c r="J9" s="23"/>
      <c r="P9" s="28"/>
      <c r="Q9" s="22">
        <v>0.1</v>
      </c>
      <c r="R9" s="22">
        <v>0.1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49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</row>
    <row r="11" spans="2:59" ht="45" x14ac:dyDescent="0.25">
      <c r="B11" s="9" t="s">
        <v>5</v>
      </c>
      <c r="C11" s="15" t="s">
        <v>21</v>
      </c>
      <c r="D11" s="9" t="s">
        <v>60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59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</row>
    <row r="13" spans="2:59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0.15</v>
      </c>
      <c r="H13" s="11">
        <f t="shared" si="1"/>
        <v>0</v>
      </c>
      <c r="I13" s="9"/>
      <c r="J13" s="23"/>
      <c r="O13" s="22">
        <v>0.4</v>
      </c>
      <c r="P13" s="28">
        <v>0.15</v>
      </c>
      <c r="Q13" s="22">
        <v>0.15</v>
      </c>
      <c r="R13" s="22">
        <v>0.15</v>
      </c>
    </row>
    <row r="14" spans="2:59" x14ac:dyDescent="0.25">
      <c r="B14" s="9" t="s">
        <v>6</v>
      </c>
      <c r="C14" s="9" t="s">
        <v>38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39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41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</row>
    <row r="16" spans="2:59" ht="30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In Progess</v>
      </c>
      <c r="G16" s="10">
        <v>0.5</v>
      </c>
      <c r="H16" s="11">
        <f t="shared" si="1"/>
        <v>0</v>
      </c>
      <c r="I16" s="30" t="s">
        <v>74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</row>
    <row r="17" spans="2:18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30" t="s">
        <v>75</v>
      </c>
      <c r="J17" s="23"/>
      <c r="P17" s="28"/>
      <c r="R17" s="22">
        <v>1</v>
      </c>
    </row>
    <row r="18" spans="2:18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  <c r="P18" s="28"/>
    </row>
    <row r="19" spans="2:18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  <c r="P19" s="28"/>
    </row>
    <row r="20" spans="2:18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  <c r="P20" s="28"/>
    </row>
    <row r="21" spans="2:18" ht="105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53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</row>
    <row r="22" spans="2:18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</row>
    <row r="23" spans="2:18" x14ac:dyDescent="0.25">
      <c r="B23" s="9" t="s">
        <v>8</v>
      </c>
      <c r="C23" s="9" t="s">
        <v>21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18" x14ac:dyDescent="0.25">
      <c r="B24" s="9" t="s">
        <v>8</v>
      </c>
      <c r="C24" s="9" t="s">
        <v>22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18" x14ac:dyDescent="0.25">
      <c r="B25" s="9" t="s">
        <v>8</v>
      </c>
      <c r="C25" s="9" t="s">
        <v>23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18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52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</row>
    <row r="27" spans="2:18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</row>
    <row r="28" spans="2:18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</row>
    <row r="29" spans="2:18" x14ac:dyDescent="0.25">
      <c r="B29" s="9" t="s">
        <v>2</v>
      </c>
      <c r="C29" s="9" t="s">
        <v>23</v>
      </c>
      <c r="D29" s="12"/>
      <c r="E29" s="19">
        <v>45929</v>
      </c>
      <c r="F29" s="9" t="str">
        <f t="shared" si="0"/>
        <v>In Progess</v>
      </c>
      <c r="G29" s="10">
        <v>0.1</v>
      </c>
      <c r="H29" s="11">
        <f t="shared" si="1"/>
        <v>0</v>
      </c>
      <c r="I29" s="9"/>
      <c r="J29" s="23"/>
      <c r="P29" s="28"/>
      <c r="Q29" s="22">
        <v>0.1</v>
      </c>
      <c r="R29" s="22">
        <v>0.1</v>
      </c>
    </row>
    <row r="30" spans="2:18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69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</row>
    <row r="31" spans="2:18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In Progess</v>
      </c>
      <c r="G31" s="10">
        <v>0.85</v>
      </c>
      <c r="H31" s="11">
        <f t="shared" si="1"/>
        <v>0</v>
      </c>
      <c r="I31" s="9" t="s">
        <v>68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</row>
    <row r="32" spans="2:18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In Progess</v>
      </c>
      <c r="G32" s="10">
        <v>0.15</v>
      </c>
      <c r="H32" s="11">
        <f t="shared" si="1"/>
        <v>0</v>
      </c>
      <c r="I32" s="9"/>
      <c r="J32" s="23"/>
      <c r="P32" s="28"/>
      <c r="R32" s="22">
        <v>0.15</v>
      </c>
    </row>
    <row r="33" spans="2:18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  <c r="P33" s="28"/>
    </row>
    <row r="34" spans="2:18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  <c r="P34" s="28"/>
    </row>
    <row r="35" spans="2:18" x14ac:dyDescent="0.25">
      <c r="B35" s="9" t="s">
        <v>37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</row>
    <row r="36" spans="2:18" x14ac:dyDescent="0.25">
      <c r="B36" s="9" t="s">
        <v>37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</row>
    <row r="37" spans="2:18" x14ac:dyDescent="0.25">
      <c r="B37" s="9" t="s">
        <v>37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  <c r="P37" s="28">
        <v>0.4</v>
      </c>
      <c r="Q37" s="22">
        <v>0.4</v>
      </c>
      <c r="R37" s="22">
        <v>0.4</v>
      </c>
    </row>
    <row r="38" spans="2:18" ht="90" x14ac:dyDescent="0.25">
      <c r="B38" s="9" t="s">
        <v>26</v>
      </c>
      <c r="C38" s="9" t="s">
        <v>48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47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</row>
    <row r="39" spans="2:18" ht="30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</row>
    <row r="40" spans="2:18" ht="30" x14ac:dyDescent="0.25">
      <c r="B40" s="9" t="s">
        <v>26</v>
      </c>
      <c r="C40" s="9" t="s">
        <v>40</v>
      </c>
      <c r="D40" s="9" t="s">
        <v>62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71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</row>
    <row r="41" spans="2:18" ht="90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 t="s">
        <v>36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</row>
    <row r="42" spans="2:18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</row>
    <row r="43" spans="2:18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</row>
    <row r="44" spans="2:18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</row>
    <row r="45" spans="2:18" ht="45" x14ac:dyDescent="0.25">
      <c r="B45" s="7" t="s">
        <v>15</v>
      </c>
      <c r="C45" s="9" t="s">
        <v>72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</row>
    <row r="46" spans="2:18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</row>
    <row r="47" spans="2:18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</row>
    <row r="48" spans="2:18" ht="45" x14ac:dyDescent="0.25">
      <c r="B48" t="s">
        <v>54</v>
      </c>
      <c r="C48" s="6" t="s">
        <v>55</v>
      </c>
      <c r="E48" s="20">
        <v>46010</v>
      </c>
      <c r="F48" s="9" t="str">
        <f t="shared" si="0"/>
        <v>In Progess</v>
      </c>
      <c r="G48" s="24">
        <v>0.8</v>
      </c>
      <c r="H48" s="25">
        <f t="shared" si="1"/>
        <v>0</v>
      </c>
      <c r="I48" t="s">
        <v>73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</row>
    <row r="49" spans="2:18" x14ac:dyDescent="0.25">
      <c r="B49" t="s">
        <v>56</v>
      </c>
      <c r="C49" s="6" t="s">
        <v>57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2025-10-27T14:27:51Z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