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F9EFFD8C-F3BD-4122-9522-959E26BE5CD9}" xr6:coauthVersionLast="47" xr6:coauthVersionMax="47" xr10:uidLastSave="{00000000-0000-0000-0000-000000000000}"/>
  <bookViews>
    <workbookView xWindow="-98" yWindow="-98" windowWidth="28996" windowHeight="15675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<sst xmlns="http://schemas.openxmlformats.org/spreadsheetml/2006/main" count="139" uniqueCount="86">
  <si>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</si>
  <si>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</si>
  <si>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</si>
  <si>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</si>
  <si>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</si>
  <si>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</si>
  <si>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</si>
  <si>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</si>
  <si>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</si>
  <si>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</si>
  <si>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</si>
  <si>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</si>
  <si>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</si>
  <si>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</si>
  <si>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</si>
  <si>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</si>
  <si>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</si>
  <si>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</si>
  <si>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</si>
  <si>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</si>
  <si>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</si>
  <si>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</si>
  <si>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</si>
  <si>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</si>
  <si>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</si>
  <si>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</si>
  <si>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</si>
  <si>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</si>
  <si>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</si>
  <si>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</si>
  <si>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</si>
  <si>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</si>
  <si>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</si>
  <si>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</si>
  <si>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</si>
  <si>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</si>
  <si>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Motor - Equipment Linking</t>
  </si>
  <si>
    <t>Duplicate/incorrect names Fan/Blower</t>
  </si>
  <si>
    <t>Fixed in DEXPI 2.0</t>
  </si>
  <si>
    <t>Label addition to profile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</si>
  <si>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</si>
  <si>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</si>
  <si>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</si>
  <si>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</si>
  <si>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</si>
  <si>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</si>
  <si>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</si>
  <si>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</si>
  <si>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</si>
  <si>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</si>
  <si>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</si>
  <si>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</si>
  <si>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</si>
  <si>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</si>
  <si>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</si>
  <si>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</si>
  <si>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</si>
  <si>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</si>
  <si>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</si>
  <si>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</si>
  <si>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</si>
  <si>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</si>
  <si>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</si>
  <si>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</si>
  <si>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</si>
  <si>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</si>
  <si>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 xml:space="preserve">Default L-&gt;R for not in-line elements.
L-&gt;R for in-line or B-&gt;T </t>
  </si>
  <si>
    <t>Create blueprint examples for  requirements in both serialization formats.</t>
  </si>
  <si>
    <t>Not needed as can be managed in DEXPI 2.0</t>
  </si>
  <si>
    <t>03.11.2025</t>
  </si>
  <si>
    <t>Keep as is with no new sub-types</t>
  </si>
  <si>
    <t>Not needed .. Use type attribute</t>
  </si>
  <si>
    <t>No definition required in profile</t>
  </si>
  <si>
    <t>10.11.2025</t>
  </si>
  <si>
    <t>17.11.2025</t>
  </si>
  <si>
    <t>Line styles to be added - temporary work around</t>
  </si>
  <si>
    <t>Filllevel rule/line style/rotation of label</t>
  </si>
  <si>
    <t>To be pushed</t>
  </si>
  <si>
    <t>24.11.2025</t>
  </si>
  <si>
    <t>Aibel is happy with DEXPI 2.0 way of managing this.</t>
  </si>
  <si>
    <t>Available in DEXPI 2.0 xml. This is an issue for DEXPI group particularly for the overall conceptual model .. How shall OPCs be managed. (Signal &amp; Piping)</t>
  </si>
  <si>
    <t>01.12.2025</t>
  </si>
  <si>
    <t>To be delivered with Profile 3 due to NuclearSource</t>
  </si>
  <si>
    <t>To be delivered with Profile 3 - need to change all other versions for reference info</t>
  </si>
  <si>
    <t>Include example in Blueprint files - package only as new propertybreak model includes tie-ins.</t>
  </si>
  <si>
    <t>Tonia to create ver 13 with custom equipment package &amp; joints. Tiein example not needed as this is covered by propertybreak.
Update to existing propertybreak to cover model Profile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</si>
</sst>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b/>
      <sz val="13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1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  <xf numFmtId="14" fontId="8" fillId="0" borderId="0" xfId="0" applyNumberFormat="1" applyFo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W4" sqref="W4:W49"/>
    </sheetView>
  </sheetViews>
  <sheetFormatPr defaultRowHeight="14.25" x14ac:dyDescent="0.45"/>
  <cols>
    <col min="1" max="1" width="5.86328125" customWidth="1"/>
    <col min="2" max="2" width="28.1328125" customWidth="1"/>
    <col min="3" max="3" width="56.73046875" customWidth="1"/>
    <col min="4" max="4" width="29.73046875" customWidth="1"/>
    <col min="5" max="5" width="14.59765625" style="20" customWidth="1"/>
    <col min="6" max="6" width="14.3984375" customWidth="1"/>
    <col min="7" max="7" width="19.73046875" customWidth="1"/>
    <col min="8" max="8" width="7" customWidth="1"/>
    <col min="9" max="9" width="36.59765625" customWidth="1"/>
    <col min="10" max="10" width="18.1328125" style="22" hidden="1" customWidth="1"/>
    <col min="11" max="11" width="16.86328125" style="22" hidden="1" customWidth="1"/>
    <col min="12" max="12" width="15" style="22" hidden="1" customWidth="1"/>
    <col min="13" max="13" width="19.86328125" style="22" hidden="1" customWidth="1"/>
    <col min="14" max="14" width="17.73046875" style="22" hidden="1" customWidth="1"/>
    <col min="15" max="15" width="16" style="22" hidden="1" customWidth="1"/>
    <col min="16" max="16" width="16.3984375" hidden="1" customWidth="1"/>
    <col min="17" max="17" width="15.73046875" style="22" hidden="1" customWidth="1"/>
    <col min="18" max="18" width="19.1328125" style="22" hidden="1" customWidth="1"/>
    <col min="19" max="19" width="15.3984375" style="22" hidden="1" customWidth="1"/>
    <col min="20" max="20" width="20.265625" style="22" customWidth="1"/>
    <col min="21" max="21" width="13.86328125" style="22" customWidth="1"/>
    <col min="22" max="22" width="15.59765625" style="22" customWidth="1"/>
    <col min="23" max="23" width="14.59765625" style="22" customWidth="1"/>
    <col min="24" max="36" width="9.1328125" style="22"/>
  </cols>
  <sheetData>
    <row r="1" spans="2:59" ht="34.9" x14ac:dyDescent="0.9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7">
      <c r="C2" s="6"/>
      <c r="D2" s="1"/>
      <c r="E2" s="17"/>
      <c r="F2" s="1"/>
      <c r="G2" s="4"/>
      <c r="H2" s="1"/>
      <c r="I2" s="6"/>
      <c r="P2" s="26"/>
    </row>
    <row r="3" spans="2:59" ht="19.5" x14ac:dyDescent="0.6">
      <c r="B3" s="2" t="s">
        <v>19</v>
      </c>
      <c r="C3" s="8" t="s">
        <v>18</v>
      </c>
      <c r="D3" s="2" t="s">
        <v>34</v>
      </c>
      <c r="E3" s="18" t="s">
        <v>40</v>
      </c>
      <c r="F3" s="2" t="s">
        <v>43</v>
      </c>
      <c r="G3" s="5" t="s">
        <v>44</v>
      </c>
      <c r="H3" s="3" t="s">
        <v>1</v>
      </c>
      <c r="I3" s="5" t="s">
        <v>42</v>
      </c>
      <c r="J3" s="21" t="s">
        <v>41</v>
      </c>
      <c r="K3" s="21" t="s">
        <v>48</v>
      </c>
      <c r="L3" s="21" t="s">
        <v>49</v>
      </c>
      <c r="M3" s="21" t="s">
        <v>56</v>
      </c>
      <c r="N3" s="21" t="s">
        <v>59</v>
      </c>
      <c r="O3" s="21" t="s">
        <v>61</v>
      </c>
      <c r="P3" s="27" t="s">
        <v>63</v>
      </c>
      <c r="Q3" s="27" t="s">
        <v>64</v>
      </c>
      <c r="R3" s="27" t="s">
        <v>65</v>
      </c>
      <c r="S3" s="27" t="s">
        <v>69</v>
      </c>
      <c r="T3" s="27" t="s">
        <v>73</v>
      </c>
      <c r="U3" s="27" t="s">
        <v>74</v>
      </c>
      <c r="V3" s="27" t="s">
        <v>78</v>
      </c>
      <c r="W3" s="30" t="s">
        <v>81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42.75" x14ac:dyDescent="0.45">
      <c r="B4" s="9" t="s">
        <v>12</v>
      </c>
      <c r="C4" s="9" t="s">
        <v>13</v>
      </c>
      <c r="D4" s="9" t="s">
        <v>62</v>
      </c>
      <c r="E4" s="19">
        <v>46010</v>
      </c>
      <c r="F4" s="9" t="str">
        <f>IF(G4=1,"Complete",IF(G4&lt;&gt;0,"In Progess","Not Started"))</f>
        <v>Complete</v>
      </c>
      <c r="G4" s="10">
        <v>1</v>
      </c>
      <c r="H4" s="11">
        <f>--(G4&gt;=1)</f>
        <v>1</v>
      </c>
      <c r="I4" s="9" t="s">
        <v>75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  <c r="S4" s="22">
        <v>0.9</v>
      </c>
      <c r="T4" s="22">
        <v>0.95</v>
      </c>
      <c r="U4" s="22">
        <v>0.98</v>
      </c>
      <c r="V4" s="22">
        <v>0.98</v>
      </c>
      <c r="W4" s="22">
        <v>1</v>
      </c>
    </row>
    <row r="5" spans="2:59" ht="28.5" x14ac:dyDescent="0.4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0.99</v>
      </c>
      <c r="H5" s="11">
        <f t="shared" ref="H5:H49" si="1">--(G5&gt;=1)</f>
        <v>0</v>
      </c>
      <c r="I5" s="9" t="s">
        <v>76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  <c r="S5" s="22">
        <v>0.97</v>
      </c>
      <c r="T5" s="22">
        <v>0.98</v>
      </c>
      <c r="U5" s="22">
        <v>0.98</v>
      </c>
      <c r="V5" s="22">
        <v>0.98</v>
      </c>
      <c r="W5" s="22">
        <v>0.99</v>
      </c>
    </row>
    <row r="6" spans="2:59" x14ac:dyDescent="0.4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  <c r="S6" s="22">
        <v>1</v>
      </c>
      <c r="T6" s="22">
        <v>1</v>
      </c>
      <c r="U6" s="22">
        <v>1</v>
      </c>
      <c r="V6" s="22">
        <v>1</v>
      </c>
      <c r="W6" s="22">
        <v>1</v>
      </c>
    </row>
    <row r="7" spans="2:59" x14ac:dyDescent="0.4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  <c r="S7" s="22">
        <v>1</v>
      </c>
      <c r="T7" s="22">
        <v>1</v>
      </c>
      <c r="U7" s="22">
        <v>1</v>
      </c>
      <c r="V7" s="22">
        <v>1</v>
      </c>
      <c r="W7" s="22">
        <v>1</v>
      </c>
    </row>
    <row r="8" spans="2:59" x14ac:dyDescent="0.4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  <c r="S8" s="22">
        <v>1</v>
      </c>
      <c r="T8" s="22">
        <v>1</v>
      </c>
      <c r="U8" s="22">
        <v>1</v>
      </c>
      <c r="V8" s="22">
        <v>1</v>
      </c>
      <c r="W8" s="22">
        <v>1</v>
      </c>
    </row>
    <row r="9" spans="2:59" x14ac:dyDescent="0.45">
      <c r="B9" s="9" t="s">
        <v>3</v>
      </c>
      <c r="C9" s="9" t="s">
        <v>23</v>
      </c>
      <c r="D9" s="9"/>
      <c r="E9" s="19">
        <v>45962</v>
      </c>
      <c r="F9" s="9" t="str">
        <f t="shared" si="0"/>
        <v>In Progess</v>
      </c>
      <c r="G9" s="10">
        <v>0.99</v>
      </c>
      <c r="H9" s="11">
        <f t="shared" si="1"/>
        <v>0</v>
      </c>
      <c r="I9" s="9" t="s">
        <v>77</v>
      </c>
      <c r="J9" s="23"/>
      <c r="P9" s="28"/>
      <c r="Q9" s="22">
        <v>0.1</v>
      </c>
      <c r="R9" s="22">
        <v>0.1</v>
      </c>
      <c r="S9" s="22">
        <v>0.2</v>
      </c>
      <c r="T9" s="22">
        <v>0.95</v>
      </c>
      <c r="U9" s="22">
        <v>0.99</v>
      </c>
      <c r="V9" s="22">
        <v>0.99</v>
      </c>
      <c r="W9" s="22">
        <v>0.99</v>
      </c>
    </row>
    <row r="10" spans="2:59" x14ac:dyDescent="0.45">
      <c r="B10" s="9" t="s">
        <v>4</v>
      </c>
      <c r="C10" s="9" t="s">
        <v>23</v>
      </c>
      <c r="D10" s="9"/>
      <c r="E10" s="19">
        <v>45909</v>
      </c>
      <c r="F10" s="9" t="s">
        <v>47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  <c r="S10" s="22">
        <v>1</v>
      </c>
      <c r="T10" s="22">
        <v>1</v>
      </c>
      <c r="U10" s="22">
        <v>1</v>
      </c>
      <c r="V10" s="22">
        <v>1</v>
      </c>
      <c r="W10" s="22">
        <v>1</v>
      </c>
    </row>
    <row r="11" spans="2:59" ht="42.75" x14ac:dyDescent="0.45">
      <c r="B11" s="9" t="s">
        <v>5</v>
      </c>
      <c r="C11" s="15" t="s">
        <v>21</v>
      </c>
      <c r="D11" s="9" t="s">
        <v>58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57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  <c r="S11" s="22">
        <v>1</v>
      </c>
      <c r="T11" s="22">
        <v>1</v>
      </c>
      <c r="U11" s="22">
        <v>1</v>
      </c>
      <c r="V11" s="22">
        <v>1</v>
      </c>
      <c r="W11" s="22">
        <v>1</v>
      </c>
    </row>
    <row r="12" spans="2:59" x14ac:dyDescent="0.4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  <c r="S12" s="22">
        <v>1</v>
      </c>
      <c r="T12" s="22">
        <v>1</v>
      </c>
      <c r="U12" s="22">
        <v>1</v>
      </c>
      <c r="V12" s="22">
        <v>1</v>
      </c>
      <c r="W12" s="22">
        <v>1</v>
      </c>
    </row>
    <row r="13" spans="2:59" ht="28.5" x14ac:dyDescent="0.4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0.98</v>
      </c>
      <c r="H13" s="11">
        <f t="shared" si="1"/>
        <v>0</v>
      </c>
      <c r="I13" s="9" t="s">
        <v>82</v>
      </c>
      <c r="J13" s="23"/>
      <c r="O13" s="22">
        <v>0.4</v>
      </c>
      <c r="P13" s="28">
        <v>0.15</v>
      </c>
      <c r="Q13" s="22">
        <v>0.15</v>
      </c>
      <c r="R13" s="22">
        <v>0.15</v>
      </c>
      <c r="S13" s="22">
        <v>0.2</v>
      </c>
      <c r="T13" s="22">
        <v>0.2</v>
      </c>
      <c r="U13" s="22">
        <v>0.3</v>
      </c>
      <c r="V13" s="22">
        <v>0.95</v>
      </c>
      <c r="W13" s="22">
        <v>0.98</v>
      </c>
    </row>
    <row r="14" spans="2:59" x14ac:dyDescent="0.45">
      <c r="B14" s="9" t="s">
        <v>6</v>
      </c>
      <c r="C14" s="9" t="s">
        <v>37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38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  <c r="S14" s="22">
        <v>1</v>
      </c>
      <c r="T14" s="22">
        <v>1</v>
      </c>
      <c r="U14" s="22">
        <v>1</v>
      </c>
      <c r="V14" s="22">
        <v>1</v>
      </c>
      <c r="W14" s="22">
        <v>1</v>
      </c>
    </row>
    <row r="15" spans="2:59" ht="28.5" x14ac:dyDescent="0.45">
      <c r="B15" s="9" t="s">
        <v>6</v>
      </c>
      <c r="C15" s="9" t="s">
        <v>24</v>
      </c>
      <c r="D15" s="9"/>
      <c r="E15" s="19">
        <v>45919</v>
      </c>
      <c r="F15" s="9" t="str">
        <f t="shared" si="0"/>
        <v>Complete</v>
      </c>
      <c r="G15" s="10">
        <v>1</v>
      </c>
      <c r="H15" s="11">
        <f t="shared" si="1"/>
        <v>1</v>
      </c>
      <c r="I15" s="9" t="s">
        <v>79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  <c r="S15" s="22">
        <v>0.7</v>
      </c>
      <c r="T15" s="22">
        <v>0.7</v>
      </c>
      <c r="U15" s="22">
        <v>0.7</v>
      </c>
      <c r="V15" s="22">
        <v>1</v>
      </c>
      <c r="W15" s="22">
        <v>1</v>
      </c>
    </row>
    <row r="16" spans="2:59" ht="57" x14ac:dyDescent="0.45">
      <c r="B16" s="9" t="s">
        <v>7</v>
      </c>
      <c r="C16" s="9" t="s">
        <v>25</v>
      </c>
      <c r="D16" s="9"/>
      <c r="E16" s="19">
        <v>45966</v>
      </c>
      <c r="F16" s="9" t="str">
        <f t="shared" si="0"/>
        <v>Complete</v>
      </c>
      <c r="G16" s="10">
        <v>1</v>
      </c>
      <c r="H16" s="11">
        <f t="shared" si="1"/>
        <v>1</v>
      </c>
      <c r="I16" s="6" t="s">
        <v>80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  <c r="S16" s="22">
        <v>0.5</v>
      </c>
      <c r="T16" s="22">
        <v>0.5</v>
      </c>
      <c r="U16" s="22">
        <v>0.6</v>
      </c>
      <c r="V16" s="22">
        <v>1</v>
      </c>
      <c r="W16" s="22">
        <v>1</v>
      </c>
    </row>
    <row r="17" spans="2:23" ht="17.25" customHeight="1" x14ac:dyDescent="0.4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6" t="s">
        <v>68</v>
      </c>
      <c r="J17" s="23"/>
      <c r="P17" s="28"/>
      <c r="R17" s="22">
        <v>1</v>
      </c>
      <c r="S17" s="22">
        <v>1</v>
      </c>
      <c r="T17" s="22">
        <v>1</v>
      </c>
      <c r="U17" s="22">
        <v>1</v>
      </c>
      <c r="V17" s="22">
        <v>1</v>
      </c>
      <c r="W17" s="22">
        <v>1</v>
      </c>
    </row>
    <row r="18" spans="2:23" x14ac:dyDescent="0.45">
      <c r="B18" s="9" t="s">
        <v>7</v>
      </c>
      <c r="C18" s="9" t="s">
        <v>21</v>
      </c>
      <c r="D18" s="9"/>
      <c r="E18" s="19">
        <v>45989</v>
      </c>
      <c r="F18" s="9" t="str">
        <f t="shared" si="0"/>
        <v>In Progess</v>
      </c>
      <c r="G18" s="10">
        <v>0.15</v>
      </c>
      <c r="H18" s="11">
        <f t="shared" si="1"/>
        <v>0</v>
      </c>
      <c r="J18" s="23"/>
      <c r="P18" s="28"/>
      <c r="S18" s="22">
        <v>0.15</v>
      </c>
      <c r="T18" s="22">
        <v>0.15</v>
      </c>
      <c r="U18" s="22">
        <v>0.15</v>
      </c>
      <c r="V18" s="22">
        <v>0.15</v>
      </c>
      <c r="W18" s="22">
        <v>0.15</v>
      </c>
    </row>
    <row r="19" spans="2:23" x14ac:dyDescent="0.45">
      <c r="B19" s="9" t="s">
        <v>7</v>
      </c>
      <c r="C19" s="9" t="s">
        <v>22</v>
      </c>
      <c r="D19" s="9"/>
      <c r="E19" s="19">
        <v>45996</v>
      </c>
      <c r="F19" s="9" t="str">
        <f t="shared" si="0"/>
        <v>Complete</v>
      </c>
      <c r="G19" s="10">
        <v>1</v>
      </c>
      <c r="H19" s="11">
        <f t="shared" si="1"/>
        <v>1</v>
      </c>
      <c r="I19" s="6" t="s">
        <v>72</v>
      </c>
      <c r="J19" s="23"/>
      <c r="P19" s="28"/>
      <c r="S19" s="22">
        <v>1</v>
      </c>
      <c r="T19" s="22">
        <v>1</v>
      </c>
      <c r="U19" s="22">
        <v>1</v>
      </c>
      <c r="V19" s="22">
        <v>1</v>
      </c>
      <c r="W19" s="22">
        <v>1</v>
      </c>
    </row>
    <row r="20" spans="2:23" ht="28.5" x14ac:dyDescent="0.45">
      <c r="B20" s="9" t="s">
        <v>7</v>
      </c>
      <c r="C20" s="9" t="s">
        <v>23</v>
      </c>
      <c r="D20" s="9"/>
      <c r="E20" s="19">
        <v>46003</v>
      </c>
      <c r="F20" s="9" t="str">
        <f t="shared" si="0"/>
        <v>In Progess</v>
      </c>
      <c r="G20" s="10">
        <v>0.98</v>
      </c>
      <c r="H20" s="11">
        <f t="shared" si="1"/>
        <v>0</v>
      </c>
      <c r="I20" s="6" t="s">
        <v>83</v>
      </c>
      <c r="J20" s="23"/>
      <c r="P20" s="28"/>
      <c r="S20" s="22">
        <v>0.2</v>
      </c>
      <c r="T20" s="22">
        <v>0.2</v>
      </c>
      <c r="U20" s="22">
        <v>0.2</v>
      </c>
      <c r="V20" s="22">
        <v>0.2</v>
      </c>
      <c r="W20" s="22">
        <v>0.98</v>
      </c>
    </row>
    <row r="21" spans="2:23" ht="85.5" x14ac:dyDescent="0.45">
      <c r="B21" s="9" t="s">
        <v>8</v>
      </c>
      <c r="C21" s="9" t="s">
        <v>25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51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  <c r="S21" s="22">
        <v>0.75</v>
      </c>
      <c r="T21" s="22">
        <v>0.75</v>
      </c>
      <c r="U21" s="22">
        <v>0.75</v>
      </c>
      <c r="V21" s="22">
        <v>0.75</v>
      </c>
      <c r="W21" s="22">
        <v>0.75</v>
      </c>
    </row>
    <row r="22" spans="2:23" ht="17.25" customHeight="1" x14ac:dyDescent="0.45">
      <c r="B22" s="9" t="s">
        <v>8</v>
      </c>
      <c r="C22" s="9" t="s">
        <v>20</v>
      </c>
      <c r="D22" s="9"/>
      <c r="E22" s="19">
        <v>45919</v>
      </c>
      <c r="F22" s="9" t="str">
        <f t="shared" si="0"/>
        <v>In Progess</v>
      </c>
      <c r="G22" s="10">
        <v>0.4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  <c r="S22" s="22">
        <v>0.2</v>
      </c>
      <c r="T22" s="22">
        <v>0.4</v>
      </c>
      <c r="U22" s="22">
        <v>0.4</v>
      </c>
      <c r="V22" s="22">
        <v>0.4</v>
      </c>
      <c r="W22" s="22">
        <v>0.4</v>
      </c>
    </row>
    <row r="23" spans="2:23" x14ac:dyDescent="0.45">
      <c r="B23" s="9" t="s">
        <v>8</v>
      </c>
      <c r="C23" s="9" t="s">
        <v>21</v>
      </c>
      <c r="D23" s="9"/>
      <c r="E23" s="19">
        <v>45952</v>
      </c>
      <c r="F23" s="9" t="str">
        <f t="shared" si="0"/>
        <v>In Progess</v>
      </c>
      <c r="G23" s="10">
        <v>0.1</v>
      </c>
      <c r="H23" s="11">
        <f t="shared" si="1"/>
        <v>0</v>
      </c>
      <c r="J23" s="23"/>
      <c r="P23" s="28"/>
      <c r="U23" s="22">
        <v>0.1</v>
      </c>
      <c r="V23" s="22">
        <v>0.1</v>
      </c>
      <c r="W23" s="22">
        <v>0.1</v>
      </c>
    </row>
    <row r="24" spans="2:23" x14ac:dyDescent="0.45">
      <c r="B24" s="9" t="s">
        <v>8</v>
      </c>
      <c r="C24" s="9" t="s">
        <v>22</v>
      </c>
      <c r="D24" s="9"/>
      <c r="E24" s="19">
        <v>45959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23" ht="71.25" x14ac:dyDescent="0.45">
      <c r="B25" s="9" t="s">
        <v>8</v>
      </c>
      <c r="C25" s="9" t="s">
        <v>84</v>
      </c>
      <c r="D25" s="9"/>
      <c r="E25" s="19">
        <v>45967</v>
      </c>
      <c r="F25" s="9" t="str">
        <f t="shared" si="0"/>
        <v>Not Started</v>
      </c>
      <c r="G25" s="10"/>
      <c r="H25" s="11">
        <f t="shared" si="1"/>
        <v>0</v>
      </c>
      <c r="I25" s="6" t="s">
        <v>85</v>
      </c>
      <c r="J25" s="23"/>
      <c r="P25" s="28"/>
    </row>
    <row r="26" spans="2:23" ht="49.5" customHeight="1" x14ac:dyDescent="0.4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50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  <c r="S26" s="22">
        <v>1</v>
      </c>
      <c r="T26" s="22">
        <v>1</v>
      </c>
      <c r="U26" s="22">
        <v>1</v>
      </c>
      <c r="V26" s="22">
        <v>1</v>
      </c>
      <c r="W26" s="22">
        <v>1</v>
      </c>
    </row>
    <row r="27" spans="2:23" x14ac:dyDescent="0.4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  <c r="S27" s="22">
        <v>1</v>
      </c>
      <c r="T27" s="22">
        <v>1</v>
      </c>
      <c r="U27" s="22">
        <v>1</v>
      </c>
      <c r="V27" s="22">
        <v>1</v>
      </c>
      <c r="W27" s="22">
        <v>1</v>
      </c>
    </row>
    <row r="28" spans="2:23" x14ac:dyDescent="0.4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  <c r="S28" s="22">
        <v>1</v>
      </c>
      <c r="T28" s="22">
        <v>1</v>
      </c>
      <c r="U28" s="22">
        <v>1</v>
      </c>
      <c r="V28" s="22">
        <v>1</v>
      </c>
      <c r="W28" s="22">
        <v>1</v>
      </c>
    </row>
    <row r="29" spans="2:23" x14ac:dyDescent="0.45">
      <c r="B29" s="9" t="s">
        <v>2</v>
      </c>
      <c r="C29" s="9" t="s">
        <v>23</v>
      </c>
      <c r="D29" s="12"/>
      <c r="E29" s="19">
        <v>45959</v>
      </c>
      <c r="F29" s="9" t="str">
        <f t="shared" si="0"/>
        <v>Complete</v>
      </c>
      <c r="G29" s="10">
        <v>1</v>
      </c>
      <c r="H29" s="11">
        <f t="shared" si="1"/>
        <v>1</v>
      </c>
      <c r="I29" s="9"/>
      <c r="J29" s="23"/>
      <c r="P29" s="28"/>
      <c r="Q29" s="22">
        <v>0.1</v>
      </c>
      <c r="R29" s="22">
        <v>0.1</v>
      </c>
      <c r="S29" s="22">
        <v>1</v>
      </c>
      <c r="T29" s="22">
        <v>1</v>
      </c>
      <c r="U29" s="22">
        <v>1</v>
      </c>
      <c r="V29" s="22">
        <v>1</v>
      </c>
      <c r="W29" s="22">
        <v>1</v>
      </c>
    </row>
    <row r="30" spans="2:23" x14ac:dyDescent="0.4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71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  <c r="S30" s="22">
        <v>1</v>
      </c>
      <c r="T30" s="22">
        <v>1</v>
      </c>
      <c r="U30" s="22">
        <v>1</v>
      </c>
      <c r="V30" s="22">
        <v>1</v>
      </c>
      <c r="W30" s="22">
        <v>1</v>
      </c>
    </row>
    <row r="31" spans="2:23" ht="17.25" customHeight="1" x14ac:dyDescent="0.45">
      <c r="B31" s="9" t="s">
        <v>9</v>
      </c>
      <c r="C31" s="9" t="s">
        <v>20</v>
      </c>
      <c r="D31" s="9"/>
      <c r="E31" s="19">
        <v>45931</v>
      </c>
      <c r="F31" s="9" t="str">
        <f t="shared" si="0"/>
        <v>Complete</v>
      </c>
      <c r="G31" s="10">
        <v>1</v>
      </c>
      <c r="H31" s="11">
        <f t="shared" si="1"/>
        <v>1</v>
      </c>
      <c r="I31" s="9" t="s">
        <v>70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  <c r="S31" s="22">
        <v>1</v>
      </c>
      <c r="T31" s="22">
        <v>1</v>
      </c>
      <c r="U31" s="22">
        <v>1</v>
      </c>
      <c r="V31" s="22">
        <v>1</v>
      </c>
      <c r="W31" s="22">
        <v>1</v>
      </c>
    </row>
    <row r="32" spans="2:23" x14ac:dyDescent="0.45">
      <c r="B32" s="9" t="s">
        <v>9</v>
      </c>
      <c r="C32" s="9" t="s">
        <v>21</v>
      </c>
      <c r="D32" s="12"/>
      <c r="E32" s="19">
        <v>45938</v>
      </c>
      <c r="F32" s="9" t="str">
        <f t="shared" si="0"/>
        <v>Complete</v>
      </c>
      <c r="G32" s="10">
        <v>1</v>
      </c>
      <c r="H32" s="11">
        <f t="shared" si="1"/>
        <v>1</v>
      </c>
      <c r="I32" s="9"/>
      <c r="J32" s="23"/>
      <c r="P32" s="28"/>
      <c r="R32" s="22">
        <v>0.15</v>
      </c>
      <c r="S32" s="22">
        <v>1</v>
      </c>
      <c r="T32" s="22">
        <v>1</v>
      </c>
      <c r="U32" s="22">
        <v>1</v>
      </c>
      <c r="V32" s="22">
        <v>1</v>
      </c>
      <c r="W32" s="22">
        <v>1</v>
      </c>
    </row>
    <row r="33" spans="2:23" x14ac:dyDescent="0.45">
      <c r="B33" s="9" t="s">
        <v>9</v>
      </c>
      <c r="C33" s="9" t="s">
        <v>22</v>
      </c>
      <c r="D33" s="9"/>
      <c r="E33" s="19">
        <v>45945</v>
      </c>
      <c r="F33" s="9" t="str">
        <f t="shared" si="0"/>
        <v>Complete</v>
      </c>
      <c r="G33" s="10">
        <v>1</v>
      </c>
      <c r="H33" s="11">
        <f t="shared" si="1"/>
        <v>1</v>
      </c>
      <c r="I33" s="9"/>
      <c r="J33" s="23"/>
      <c r="P33" s="28"/>
      <c r="S33" s="22">
        <v>1</v>
      </c>
      <c r="T33" s="22">
        <v>1</v>
      </c>
      <c r="U33" s="22">
        <v>1</v>
      </c>
      <c r="V33" s="22">
        <v>1</v>
      </c>
      <c r="W33" s="22">
        <v>1</v>
      </c>
    </row>
    <row r="34" spans="2:23" x14ac:dyDescent="0.45">
      <c r="B34" s="9" t="s">
        <v>9</v>
      </c>
      <c r="C34" s="9" t="s">
        <v>23</v>
      </c>
      <c r="D34" s="12"/>
      <c r="E34" s="19">
        <v>45952</v>
      </c>
      <c r="F34" s="9" t="str">
        <f t="shared" si="0"/>
        <v>Complete</v>
      </c>
      <c r="G34" s="10">
        <v>1</v>
      </c>
      <c r="H34" s="11">
        <f t="shared" si="1"/>
        <v>1</v>
      </c>
      <c r="I34" s="9"/>
      <c r="J34" s="23"/>
      <c r="P34" s="28"/>
      <c r="S34" s="22">
        <v>1</v>
      </c>
      <c r="T34" s="22">
        <v>1</v>
      </c>
      <c r="U34" s="22">
        <v>1</v>
      </c>
      <c r="V34" s="22">
        <v>1</v>
      </c>
      <c r="W34" s="22">
        <v>1</v>
      </c>
    </row>
    <row r="35" spans="2:23" x14ac:dyDescent="0.45">
      <c r="B35" s="9" t="s">
        <v>36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  <c r="S35" s="22">
        <v>1</v>
      </c>
      <c r="T35" s="22">
        <v>1</v>
      </c>
      <c r="U35" s="22">
        <v>1</v>
      </c>
      <c r="V35" s="22">
        <v>1</v>
      </c>
      <c r="W35" s="22">
        <v>1</v>
      </c>
    </row>
    <row r="36" spans="2:23" x14ac:dyDescent="0.45">
      <c r="B36" s="9" t="s">
        <v>36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  <c r="S36" s="22">
        <v>1</v>
      </c>
      <c r="T36" s="22">
        <v>1</v>
      </c>
      <c r="U36" s="22">
        <v>1</v>
      </c>
      <c r="V36" s="22">
        <v>1</v>
      </c>
      <c r="W36" s="22">
        <v>1</v>
      </c>
    </row>
    <row r="37" spans="2:23" x14ac:dyDescent="0.45">
      <c r="B37" s="9" t="s">
        <v>36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0.99</v>
      </c>
      <c r="H37" s="11">
        <f t="shared" si="1"/>
        <v>0</v>
      </c>
      <c r="I37" s="9" t="s">
        <v>77</v>
      </c>
      <c r="J37" s="23"/>
      <c r="O37" s="22">
        <v>0.4</v>
      </c>
      <c r="P37" s="28">
        <v>0.4</v>
      </c>
      <c r="Q37" s="22">
        <v>0.4</v>
      </c>
      <c r="R37" s="22">
        <v>0.4</v>
      </c>
      <c r="S37" s="22">
        <v>0.4</v>
      </c>
      <c r="T37" s="22">
        <v>0.95</v>
      </c>
      <c r="U37" s="22">
        <v>0.99</v>
      </c>
      <c r="V37" s="22">
        <v>0.99</v>
      </c>
      <c r="W37" s="22">
        <v>0.99</v>
      </c>
    </row>
    <row r="38" spans="2:23" ht="57" x14ac:dyDescent="0.45">
      <c r="B38" s="9" t="s">
        <v>26</v>
      </c>
      <c r="C38" s="9" t="s">
        <v>46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45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  <c r="S38" s="22">
        <v>1</v>
      </c>
      <c r="T38" s="22">
        <v>1</v>
      </c>
      <c r="U38" s="22">
        <v>1</v>
      </c>
      <c r="V38" s="22">
        <v>1</v>
      </c>
      <c r="W38" s="22">
        <v>1</v>
      </c>
    </row>
    <row r="39" spans="2:23" x14ac:dyDescent="0.4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  <c r="S39" s="22">
        <v>1</v>
      </c>
      <c r="T39" s="22">
        <v>1</v>
      </c>
      <c r="U39" s="22">
        <v>1</v>
      </c>
      <c r="V39" s="22">
        <v>1</v>
      </c>
      <c r="W39" s="22">
        <v>1</v>
      </c>
    </row>
    <row r="40" spans="2:23" ht="28.5" x14ac:dyDescent="0.45">
      <c r="B40" s="9" t="s">
        <v>26</v>
      </c>
      <c r="C40" s="9" t="s">
        <v>39</v>
      </c>
      <c r="D40" s="9" t="s">
        <v>60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66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  <c r="S40" s="22">
        <v>0.95</v>
      </c>
      <c r="T40" s="22">
        <v>0.95</v>
      </c>
      <c r="U40" s="22">
        <v>0.95</v>
      </c>
      <c r="V40" s="22">
        <v>0.95</v>
      </c>
      <c r="W40" s="22">
        <v>0.95</v>
      </c>
    </row>
    <row r="41" spans="2:23" x14ac:dyDescent="0.4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/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  <c r="S41" s="22">
        <v>1</v>
      </c>
      <c r="T41" s="22">
        <v>1</v>
      </c>
      <c r="U41" s="22">
        <v>1</v>
      </c>
      <c r="V41" s="22">
        <v>1</v>
      </c>
      <c r="W41" s="22">
        <v>1</v>
      </c>
    </row>
    <row r="42" spans="2:23" x14ac:dyDescent="0.4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  <c r="S42" s="22">
        <v>1</v>
      </c>
      <c r="T42" s="22">
        <v>1</v>
      </c>
      <c r="U42" s="22">
        <v>1</v>
      </c>
      <c r="V42" s="22">
        <v>1</v>
      </c>
      <c r="W42" s="22">
        <v>1</v>
      </c>
    </row>
    <row r="43" spans="2:23" x14ac:dyDescent="0.4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  <c r="S43" s="22">
        <v>1</v>
      </c>
      <c r="T43" s="22">
        <v>1</v>
      </c>
      <c r="U43" s="22">
        <v>1</v>
      </c>
      <c r="V43" s="22">
        <v>1</v>
      </c>
      <c r="W43" s="22">
        <v>1</v>
      </c>
    </row>
    <row r="44" spans="2:23" x14ac:dyDescent="0.4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  <c r="S44" s="22">
        <v>0.99</v>
      </c>
      <c r="T44" s="22">
        <v>0.99</v>
      </c>
      <c r="U44" s="22">
        <v>0.99</v>
      </c>
      <c r="V44" s="22">
        <v>0.99</v>
      </c>
      <c r="W44" s="22">
        <v>0.99</v>
      </c>
    </row>
    <row r="45" spans="2:23" ht="28.5" x14ac:dyDescent="0.45">
      <c r="B45" s="7" t="s">
        <v>15</v>
      </c>
      <c r="C45" s="9" t="s">
        <v>67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  <c r="S45" s="22">
        <v>1</v>
      </c>
      <c r="T45" s="22">
        <v>1</v>
      </c>
      <c r="U45" s="22">
        <v>1</v>
      </c>
      <c r="V45" s="22">
        <v>1</v>
      </c>
      <c r="W45" s="22">
        <v>1</v>
      </c>
    </row>
    <row r="46" spans="2:23" x14ac:dyDescent="0.4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  <c r="S46" s="22">
        <v>0.7</v>
      </c>
      <c r="T46" s="22">
        <v>0.7</v>
      </c>
      <c r="U46" s="22">
        <v>0.7</v>
      </c>
      <c r="V46" s="22">
        <v>0.7</v>
      </c>
      <c r="W46" s="22">
        <v>0.7</v>
      </c>
    </row>
    <row r="47" spans="2:23" x14ac:dyDescent="0.4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0.6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  <c r="S47" s="22">
        <v>0.6</v>
      </c>
      <c r="T47" s="22">
        <v>0.6</v>
      </c>
      <c r="U47" s="22">
        <v>0.6</v>
      </c>
      <c r="V47" s="22">
        <v>0.6</v>
      </c>
      <c r="W47" s="22">
        <v>0.6</v>
      </c>
    </row>
    <row r="48" spans="2:23" ht="42.75" x14ac:dyDescent="0.45">
      <c r="B48" t="s">
        <v>52</v>
      </c>
      <c r="C48" s="6" t="s">
        <v>53</v>
      </c>
      <c r="E48" s="20">
        <v>46010</v>
      </c>
      <c r="F48" s="9" t="str">
        <f t="shared" si="0"/>
        <v>Complete</v>
      </c>
      <c r="G48" s="24">
        <v>1</v>
      </c>
      <c r="H48" s="25">
        <f t="shared" si="1"/>
        <v>1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  <c r="S48" s="22">
        <v>1</v>
      </c>
      <c r="T48" s="22">
        <v>1</v>
      </c>
      <c r="U48" s="22">
        <v>1</v>
      </c>
      <c r="V48" s="22">
        <v>1</v>
      </c>
      <c r="W48" s="22">
        <v>1</v>
      </c>
    </row>
    <row r="49" spans="2:23" x14ac:dyDescent="0.45">
      <c r="B49" t="s">
        <v>54</v>
      </c>
      <c r="C49" s="6" t="s">
        <v>55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  <c r="S49" s="22">
        <v>1</v>
      </c>
      <c r="T49" s="22">
        <v>1</v>
      </c>
      <c r="U49" s="22">
        <v>1</v>
      </c>
      <c r="V49" s="22">
        <v>1</v>
      </c>
      <c r="W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4.2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2025-12-01T11:21:45Z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