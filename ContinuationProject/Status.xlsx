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28785714-6456-4304-99E5-823692D43FB8}" xr6:coauthVersionLast="47" xr6:coauthVersionMax="47" xr10:uidLastSave="{00000000-0000-0000-0000-000000000000}"/>
  <bookViews>
    <workbookView xWindow="2868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7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<sst xmlns="http://schemas.openxmlformats.org/spreadsheetml/2006/main" count="110" uniqueCount="57">
  <si>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</si>
  <si>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</si>
  <si>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</si>
  <si>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</si>
  <si>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</si>
  <si>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</si>
  <si>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</si>
  <si>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</si>
  <si>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</si>
  <si>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</si>
  <si>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</si>
  <si>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</si>
  <si>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</si>
  <si>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</si>
  <si>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</si>
  <si>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</si>
  <si>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</si>
  <si>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</si>
  <si>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</si>
  <si>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</si>
  <si>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</si>
  <si>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</si>
  <si>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</si>
  <si>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</si>
  <si>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</si>
  <si>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</si>
  <si>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</si>
  <si>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</si>
  <si>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</si>
  <si>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</si>
  <si>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</si>
  <si>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</si>
  <si>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</si>
  <si>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</si>
  <si>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</si>
  <si>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</si>
  <si>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</si>
  <si>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New requirements not confirmed yet.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</si>
  <si>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</si>
  <si>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</si>
  <si>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</si>
  <si>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</si>
  <si>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</si>
  <si>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</si>
  <si>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Text rotation, Label position, Link to attributes</t>
  </si>
  <si>
    <t>Discussed with Aibel/Hexagon - need to find which rules would apply to ensure correct usage of this new class.</t>
  </si>
  <si>
    <t>Model given OK from Aibel. Need list of component type from Aibel with RDL.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</si>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</sst>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24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NumberFormat="1" applyFont="1"/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7"/>
  <sheetViews>
    <sheetView tabSelected="1" zoomScaleNormal="100" workbookViewId="0">
      <pane xSplit="2" ySplit="3" topLeftCell="C29" activePane="bottomRight" state="frozen"/>
      <selection pane="topRight" activeCell="C1" sqref="C1"/>
      <selection pane="bottomLeft" activeCell="A4" sqref="A4"/>
      <selection pane="bottomRight" activeCell="N38" sqref="N38"/>
    </sheetView>
  </sheetViews>
  <sheetFormatPr defaultRowHeight="15" x14ac:dyDescent="0.25"/>
  <cols>
    <col min="1" max="1" width="1.85546875" customWidth="1"/>
    <col min="2" max="2" width="45.42578125" customWidth="1"/>
    <col min="3" max="3" width="64.42578125" customWidth="1"/>
    <col min="4" max="4" width="22.7109375" customWidth="1"/>
    <col min="5" max="5" width="16.5703125" style="20" customWidth="1"/>
    <col min="6" max="6" width="14.42578125" customWidth="1"/>
    <col min="7" max="7" width="25.85546875" customWidth="1"/>
    <col min="8" max="8" width="7" customWidth="1"/>
    <col min="9" max="9" width="25.140625" customWidth="1"/>
    <col min="10" max="10" width="18.140625" style="22" customWidth="1"/>
    <col min="11" max="11" width="16.85546875" style="22" customWidth="1"/>
    <col min="12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</row>
    <row r="2" spans="2:59" ht="9" customHeight="1" x14ac:dyDescent="0.4">
      <c r="C2" s="6"/>
      <c r="D2" s="1"/>
      <c r="E2" s="17"/>
      <c r="F2" s="1"/>
      <c r="G2" s="4"/>
      <c r="H2" s="1"/>
      <c r="I2" s="6"/>
    </row>
    <row r="3" spans="2:59" ht="19.5" x14ac:dyDescent="0.3">
      <c r="B3" s="2" t="s">
        <v>20</v>
      </c>
      <c r="C3" s="8" t="s">
        <v>19</v>
      </c>
      <c r="D3" s="2" t="s">
        <v>36</v>
      </c>
      <c r="E3" s="18" t="s">
        <v>48</v>
      </c>
      <c r="F3" s="2" t="s">
        <v>51</v>
      </c>
      <c r="G3" s="5" t="s">
        <v>52</v>
      </c>
      <c r="H3" s="3" t="s">
        <v>1</v>
      </c>
      <c r="I3" s="5" t="s">
        <v>50</v>
      </c>
      <c r="J3" s="21" t="s">
        <v>49</v>
      </c>
      <c r="K3" s="21" t="s">
        <v>56</v>
      </c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30" x14ac:dyDescent="0.25">
      <c r="B4" s="9" t="s">
        <v>12</v>
      </c>
      <c r="C4" s="9" t="s">
        <v>13</v>
      </c>
      <c r="D4" s="9"/>
      <c r="E4" s="19">
        <v>46010</v>
      </c>
      <c r="F4" s="9" t="str">
        <f>IF(G4=1,"Complete",IF(G4&lt;&gt;0,"In Progess","Not Started"))</f>
        <v>In Progess</v>
      </c>
      <c r="G4" s="10">
        <v>0.3</v>
      </c>
      <c r="H4" s="11">
        <f>--(G4&gt;=1)</f>
        <v>0</v>
      </c>
      <c r="I4" s="9" t="s">
        <v>15</v>
      </c>
      <c r="J4" s="23">
        <v>0.3</v>
      </c>
      <c r="K4" s="22">
        <v>0.3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7" si="0">IF(G5=1,"Complete",IF(G5&lt;&gt;0,"In Progess","Not Started"))</f>
        <v>In Progess</v>
      </c>
      <c r="G5" s="10">
        <v>0.75</v>
      </c>
      <c r="H5" s="11">
        <f t="shared" ref="H5:H47" si="1">--(G5&gt;=1)</f>
        <v>0</v>
      </c>
      <c r="I5" s="9"/>
      <c r="J5" s="23">
        <v>0.75</v>
      </c>
      <c r="K5" s="22">
        <v>0.75</v>
      </c>
    </row>
    <row r="6" spans="2:59" ht="30" x14ac:dyDescent="0.25">
      <c r="B6" s="9" t="s">
        <v>3</v>
      </c>
      <c r="C6" s="14" t="s">
        <v>21</v>
      </c>
      <c r="D6" s="9"/>
      <c r="E6" s="19">
        <v>45917</v>
      </c>
      <c r="F6" s="9" t="str">
        <f t="shared" si="0"/>
        <v>In Progess</v>
      </c>
      <c r="G6" s="10">
        <v>0.9</v>
      </c>
      <c r="H6" s="11">
        <f t="shared" si="1"/>
        <v>0</v>
      </c>
      <c r="I6" s="9" t="s">
        <v>46</v>
      </c>
      <c r="J6" s="23">
        <v>0.9</v>
      </c>
      <c r="K6" s="22">
        <v>0.9</v>
      </c>
    </row>
    <row r="7" spans="2:59" x14ac:dyDescent="0.25">
      <c r="B7" s="9" t="s">
        <v>3</v>
      </c>
      <c r="C7" s="15" t="s">
        <v>22</v>
      </c>
      <c r="D7" s="9"/>
      <c r="E7" s="19">
        <v>45925</v>
      </c>
      <c r="F7" s="9" t="str">
        <f t="shared" si="0"/>
        <v>Not Started</v>
      </c>
      <c r="G7" s="10"/>
      <c r="H7" s="11">
        <f t="shared" si="1"/>
        <v>0</v>
      </c>
      <c r="I7" s="9"/>
      <c r="J7" s="23"/>
    </row>
    <row r="8" spans="2:59" x14ac:dyDescent="0.25">
      <c r="B8" s="9" t="s">
        <v>3</v>
      </c>
      <c r="C8" s="15" t="s">
        <v>23</v>
      </c>
      <c r="D8" s="9"/>
      <c r="E8" s="19">
        <v>45931</v>
      </c>
      <c r="F8" s="9" t="str">
        <f t="shared" si="0"/>
        <v>Not Started</v>
      </c>
      <c r="G8" s="10"/>
      <c r="H8" s="11">
        <f t="shared" si="1"/>
        <v>0</v>
      </c>
      <c r="I8" s="9"/>
      <c r="J8" s="23"/>
    </row>
    <row r="9" spans="2:59" x14ac:dyDescent="0.25">
      <c r="B9" s="9" t="s">
        <v>3</v>
      </c>
      <c r="C9" s="9" t="s">
        <v>24</v>
      </c>
      <c r="D9" s="9"/>
      <c r="E9" s="19">
        <v>45870</v>
      </c>
      <c r="F9" s="9" t="str">
        <f t="shared" si="0"/>
        <v>Not Started</v>
      </c>
      <c r="G9" s="10"/>
      <c r="H9" s="11">
        <f t="shared" si="1"/>
        <v>0</v>
      </c>
      <c r="I9" s="9"/>
      <c r="J9" s="23"/>
    </row>
    <row r="10" spans="2:59" x14ac:dyDescent="0.25">
      <c r="B10" s="9" t="s">
        <v>4</v>
      </c>
      <c r="C10" s="9" t="s">
        <v>24</v>
      </c>
      <c r="D10" s="9"/>
      <c r="E10" s="19">
        <v>45909</v>
      </c>
      <c r="F10" s="9" t="s">
        <v>55</v>
      </c>
      <c r="G10" s="10">
        <v>1</v>
      </c>
      <c r="H10" s="11">
        <f t="shared" si="1"/>
        <v>1</v>
      </c>
      <c r="I10" s="9"/>
      <c r="J10" s="23"/>
      <c r="K10" s="22">
        <v>1</v>
      </c>
    </row>
    <row r="11" spans="2:59" x14ac:dyDescent="0.25">
      <c r="B11" s="9" t="s">
        <v>5</v>
      </c>
      <c r="C11" s="15" t="s">
        <v>22</v>
      </c>
      <c r="D11" s="9"/>
      <c r="E11" s="19">
        <v>45917</v>
      </c>
      <c r="F11" s="9" t="str">
        <f t="shared" si="0"/>
        <v>In Progess</v>
      </c>
      <c r="G11" s="10">
        <v>0.75</v>
      </c>
      <c r="H11" s="11">
        <f t="shared" si="1"/>
        <v>0</v>
      </c>
      <c r="I11" s="9"/>
      <c r="J11" s="23">
        <v>0.6</v>
      </c>
      <c r="K11" s="22">
        <v>0.75</v>
      </c>
    </row>
    <row r="12" spans="2:59" x14ac:dyDescent="0.25">
      <c r="B12" s="9" t="s">
        <v>5</v>
      </c>
      <c r="C12" s="15" t="s">
        <v>23</v>
      </c>
      <c r="D12" s="9"/>
      <c r="E12" s="19">
        <v>45924</v>
      </c>
      <c r="F12" s="9" t="str">
        <f t="shared" si="0"/>
        <v>Not Started</v>
      </c>
      <c r="G12" s="10"/>
      <c r="H12" s="11">
        <f t="shared" si="1"/>
        <v>0</v>
      </c>
      <c r="I12" s="9"/>
      <c r="J12" s="23"/>
    </row>
    <row r="13" spans="2:59" x14ac:dyDescent="0.25">
      <c r="B13" s="9" t="s">
        <v>5</v>
      </c>
      <c r="C13" s="9" t="s">
        <v>24</v>
      </c>
      <c r="D13" s="9"/>
      <c r="E13" s="19">
        <v>45931</v>
      </c>
      <c r="F13" s="9" t="str">
        <f t="shared" si="0"/>
        <v>Not Started</v>
      </c>
      <c r="G13" s="10"/>
      <c r="H13" s="11">
        <f t="shared" si="1"/>
        <v>0</v>
      </c>
      <c r="I13" s="9"/>
      <c r="J13" s="23"/>
    </row>
    <row r="14" spans="2:59" x14ac:dyDescent="0.25">
      <c r="B14" s="9" t="s">
        <v>6</v>
      </c>
      <c r="C14" s="9" t="s">
        <v>41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42</v>
      </c>
      <c r="J14" s="23">
        <v>1</v>
      </c>
      <c r="K14" s="22">
        <v>1</v>
      </c>
    </row>
    <row r="15" spans="2:59" ht="30" x14ac:dyDescent="0.25">
      <c r="B15" s="9" t="s">
        <v>6</v>
      </c>
      <c r="C15" s="9" t="s">
        <v>25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47</v>
      </c>
      <c r="J15" s="23">
        <v>0.7</v>
      </c>
      <c r="K15" s="22">
        <v>0.7</v>
      </c>
    </row>
    <row r="16" spans="2:59" x14ac:dyDescent="0.25">
      <c r="B16" s="9" t="s">
        <v>7</v>
      </c>
      <c r="C16" s="9" t="s">
        <v>26</v>
      </c>
      <c r="D16" s="9"/>
      <c r="E16" s="19">
        <v>45966</v>
      </c>
      <c r="F16" s="9" t="str">
        <f t="shared" si="0"/>
        <v>In Progess</v>
      </c>
      <c r="G16" s="10">
        <v>0.2</v>
      </c>
      <c r="H16" s="11">
        <f t="shared" si="1"/>
        <v>0</v>
      </c>
      <c r="J16" s="23">
        <v>0.2</v>
      </c>
      <c r="K16" s="22">
        <v>0.2</v>
      </c>
    </row>
    <row r="17" spans="2:11" ht="17.25" customHeight="1" x14ac:dyDescent="0.25">
      <c r="B17" s="9" t="s">
        <v>7</v>
      </c>
      <c r="C17" s="9" t="s">
        <v>21</v>
      </c>
      <c r="D17" s="9"/>
      <c r="E17" s="19">
        <v>45982</v>
      </c>
      <c r="F17" s="9" t="str">
        <f t="shared" si="0"/>
        <v>Not Started</v>
      </c>
      <c r="G17" s="10"/>
      <c r="H17" s="11">
        <f t="shared" si="1"/>
        <v>0</v>
      </c>
      <c r="J17" s="23"/>
    </row>
    <row r="18" spans="2:11" x14ac:dyDescent="0.25">
      <c r="B18" s="9" t="s">
        <v>7</v>
      </c>
      <c r="C18" s="9" t="s">
        <v>22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</row>
    <row r="19" spans="2:11" x14ac:dyDescent="0.25">
      <c r="B19" s="9" t="s">
        <v>7</v>
      </c>
      <c r="C19" s="9" t="s">
        <v>23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</row>
    <row r="20" spans="2:11" x14ac:dyDescent="0.25">
      <c r="B20" s="9" t="s">
        <v>7</v>
      </c>
      <c r="C20" s="9" t="s">
        <v>24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</row>
    <row r="21" spans="2:11" x14ac:dyDescent="0.25">
      <c r="B21" s="9" t="s">
        <v>8</v>
      </c>
      <c r="C21" s="9" t="s">
        <v>26</v>
      </c>
      <c r="D21" s="9"/>
      <c r="E21" s="19">
        <v>45912</v>
      </c>
      <c r="F21" s="9" t="str">
        <f t="shared" si="0"/>
        <v>Not Started</v>
      </c>
      <c r="G21" s="10"/>
      <c r="H21" s="11">
        <f t="shared" si="1"/>
        <v>0</v>
      </c>
      <c r="J21" s="23"/>
    </row>
    <row r="22" spans="2:11" ht="17.25" customHeight="1" x14ac:dyDescent="0.25">
      <c r="B22" s="9" t="s">
        <v>8</v>
      </c>
      <c r="C22" s="9" t="s">
        <v>21</v>
      </c>
      <c r="D22" s="9"/>
      <c r="E22" s="19">
        <v>45919</v>
      </c>
      <c r="F22" s="9" t="str">
        <f t="shared" si="0"/>
        <v>Not Started</v>
      </c>
      <c r="G22" s="10"/>
      <c r="H22" s="11">
        <f t="shared" si="1"/>
        <v>0</v>
      </c>
      <c r="J22" s="23"/>
    </row>
    <row r="23" spans="2:11" x14ac:dyDescent="0.25">
      <c r="B23" s="9" t="s">
        <v>8</v>
      </c>
      <c r="C23" s="9" t="s">
        <v>22</v>
      </c>
      <c r="D23" s="9"/>
      <c r="E23" s="19">
        <v>45922</v>
      </c>
      <c r="F23" s="9" t="str">
        <f t="shared" si="0"/>
        <v>Not Started</v>
      </c>
      <c r="G23" s="10"/>
      <c r="H23" s="11">
        <f t="shared" si="1"/>
        <v>0</v>
      </c>
      <c r="J23" s="23"/>
    </row>
    <row r="24" spans="2:11" x14ac:dyDescent="0.25">
      <c r="B24" s="9" t="s">
        <v>8</v>
      </c>
      <c r="C24" s="9" t="s">
        <v>23</v>
      </c>
      <c r="D24" s="9"/>
      <c r="E24" s="19">
        <v>45929</v>
      </c>
      <c r="F24" s="9" t="str">
        <f t="shared" si="0"/>
        <v>Not Started</v>
      </c>
      <c r="G24" s="10"/>
      <c r="H24" s="11">
        <f t="shared" si="1"/>
        <v>0</v>
      </c>
      <c r="J24" s="23"/>
    </row>
    <row r="25" spans="2:11" x14ac:dyDescent="0.25">
      <c r="B25" s="9" t="s">
        <v>8</v>
      </c>
      <c r="C25" s="9" t="s">
        <v>24</v>
      </c>
      <c r="D25" s="9"/>
      <c r="E25" s="19">
        <v>45936</v>
      </c>
      <c r="F25" s="9" t="str">
        <f t="shared" si="0"/>
        <v>Not Started</v>
      </c>
      <c r="G25" s="10"/>
      <c r="H25" s="11">
        <f t="shared" si="1"/>
        <v>0</v>
      </c>
      <c r="J25" s="23"/>
    </row>
    <row r="26" spans="2:11" ht="49.5" customHeight="1" x14ac:dyDescent="0.25">
      <c r="B26" s="9" t="s">
        <v>2</v>
      </c>
      <c r="C26" s="9" t="s">
        <v>21</v>
      </c>
      <c r="D26" s="9"/>
      <c r="E26" s="19">
        <v>45912</v>
      </c>
      <c r="F26" s="9" t="str">
        <f t="shared" si="0"/>
        <v>In Progess</v>
      </c>
      <c r="G26" s="10">
        <v>0.8</v>
      </c>
      <c r="H26" s="11">
        <f t="shared" si="1"/>
        <v>0</v>
      </c>
      <c r="I26" s="9" t="s">
        <v>45</v>
      </c>
      <c r="J26" s="23">
        <v>0.7</v>
      </c>
      <c r="K26" s="22">
        <v>0.8</v>
      </c>
    </row>
    <row r="27" spans="2:11" x14ac:dyDescent="0.25">
      <c r="B27" s="9" t="s">
        <v>2</v>
      </c>
      <c r="C27" s="9" t="s">
        <v>22</v>
      </c>
      <c r="D27" s="12"/>
      <c r="E27" s="19">
        <v>45919</v>
      </c>
      <c r="F27" s="9" t="str">
        <f t="shared" si="0"/>
        <v>Not Started</v>
      </c>
      <c r="G27" s="10"/>
      <c r="H27" s="11">
        <f t="shared" si="1"/>
        <v>0</v>
      </c>
      <c r="I27" s="9"/>
      <c r="J27" s="23"/>
    </row>
    <row r="28" spans="2:11" x14ac:dyDescent="0.25">
      <c r="B28" s="9" t="s">
        <v>2</v>
      </c>
      <c r="C28" s="9" t="s">
        <v>23</v>
      </c>
      <c r="D28" s="9"/>
      <c r="E28" s="19">
        <v>45922</v>
      </c>
      <c r="F28" s="9" t="str">
        <f t="shared" si="0"/>
        <v>Not Started</v>
      </c>
      <c r="G28" s="10"/>
      <c r="H28" s="11">
        <f t="shared" si="1"/>
        <v>0</v>
      </c>
      <c r="I28" s="9"/>
      <c r="J28" s="23"/>
    </row>
    <row r="29" spans="2:11" x14ac:dyDescent="0.25">
      <c r="B29" s="9" t="s">
        <v>2</v>
      </c>
      <c r="C29" s="9" t="s">
        <v>24</v>
      </c>
      <c r="D29" s="12"/>
      <c r="E29" s="19">
        <v>45929</v>
      </c>
      <c r="F29" s="9" t="str">
        <f t="shared" si="0"/>
        <v>Not Started</v>
      </c>
      <c r="G29" s="10"/>
      <c r="H29" s="11">
        <f t="shared" si="1"/>
        <v>0</v>
      </c>
      <c r="I29" s="9"/>
      <c r="J29" s="23"/>
    </row>
    <row r="30" spans="2:11" x14ac:dyDescent="0.25">
      <c r="B30" s="9" t="s">
        <v>9</v>
      </c>
      <c r="C30" s="9" t="s">
        <v>26</v>
      </c>
      <c r="D30" s="9"/>
      <c r="E30" s="19">
        <v>45926</v>
      </c>
      <c r="F30" s="9" t="str">
        <f t="shared" si="0"/>
        <v>Not Started</v>
      </c>
      <c r="G30" s="10"/>
      <c r="H30" s="11">
        <f t="shared" si="1"/>
        <v>0</v>
      </c>
      <c r="I30" s="9"/>
      <c r="J30" s="23"/>
    </row>
    <row r="31" spans="2:11" ht="17.25" customHeight="1" x14ac:dyDescent="0.25">
      <c r="B31" s="9" t="s">
        <v>9</v>
      </c>
      <c r="C31" s="9" t="s">
        <v>21</v>
      </c>
      <c r="D31" s="9"/>
      <c r="E31" s="19">
        <v>45931</v>
      </c>
      <c r="F31" s="9" t="str">
        <f t="shared" si="0"/>
        <v>Not Started</v>
      </c>
      <c r="G31" s="10"/>
      <c r="H31" s="11">
        <f t="shared" si="1"/>
        <v>0</v>
      </c>
      <c r="I31" s="9"/>
      <c r="J31" s="23"/>
    </row>
    <row r="32" spans="2:11" x14ac:dyDescent="0.25">
      <c r="B32" s="9" t="s">
        <v>9</v>
      </c>
      <c r="C32" s="9" t="s">
        <v>22</v>
      </c>
      <c r="D32" s="12"/>
      <c r="E32" s="19">
        <v>45938</v>
      </c>
      <c r="F32" s="9" t="str">
        <f t="shared" si="0"/>
        <v>Not Started</v>
      </c>
      <c r="G32" s="10"/>
      <c r="H32" s="11">
        <f t="shared" si="1"/>
        <v>0</v>
      </c>
      <c r="I32" s="9"/>
      <c r="J32" s="23"/>
    </row>
    <row r="33" spans="2:11" x14ac:dyDescent="0.25">
      <c r="B33" s="9" t="s">
        <v>9</v>
      </c>
      <c r="C33" s="9" t="s">
        <v>23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</row>
    <row r="34" spans="2:11" x14ac:dyDescent="0.25">
      <c r="B34" s="9" t="s">
        <v>9</v>
      </c>
      <c r="C34" s="9" t="s">
        <v>24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</row>
    <row r="35" spans="2:11" x14ac:dyDescent="0.25">
      <c r="B35" s="9" t="s">
        <v>40</v>
      </c>
      <c r="C35" s="9" t="s">
        <v>22</v>
      </c>
      <c r="D35" s="9"/>
      <c r="E35" s="19">
        <v>45919</v>
      </c>
      <c r="F35" s="9" t="str">
        <f t="shared" si="0"/>
        <v>In Progess</v>
      </c>
      <c r="G35" s="10">
        <v>0.9</v>
      </c>
      <c r="H35" s="11">
        <f t="shared" si="1"/>
        <v>0</v>
      </c>
      <c r="I35" s="9"/>
      <c r="J35" s="23">
        <v>0.9</v>
      </c>
      <c r="K35" s="22">
        <v>0.9</v>
      </c>
    </row>
    <row r="36" spans="2:11" x14ac:dyDescent="0.25">
      <c r="B36" s="9" t="s">
        <v>40</v>
      </c>
      <c r="C36" s="9" t="s">
        <v>23</v>
      </c>
      <c r="D36" s="9"/>
      <c r="E36" s="19">
        <v>45938</v>
      </c>
      <c r="F36" s="9" t="str">
        <f t="shared" si="0"/>
        <v>Not Started</v>
      </c>
      <c r="G36" s="10"/>
      <c r="H36" s="11">
        <f t="shared" si="1"/>
        <v>0</v>
      </c>
      <c r="I36" s="9"/>
      <c r="J36" s="23"/>
    </row>
    <row r="37" spans="2:11" x14ac:dyDescent="0.25">
      <c r="B37" s="9" t="s">
        <v>40</v>
      </c>
      <c r="C37" s="9" t="s">
        <v>24</v>
      </c>
      <c r="D37" s="12"/>
      <c r="E37" s="19">
        <v>45945</v>
      </c>
      <c r="F37" s="9" t="str">
        <f t="shared" si="0"/>
        <v>Not Started</v>
      </c>
      <c r="G37" s="10"/>
      <c r="H37" s="11">
        <f t="shared" si="1"/>
        <v>0</v>
      </c>
      <c r="I37" s="9"/>
      <c r="J37" s="23"/>
    </row>
    <row r="38" spans="2:11" ht="60" x14ac:dyDescent="0.25">
      <c r="B38" s="9" t="s">
        <v>27</v>
      </c>
      <c r="C38" s="9" t="s">
        <v>54</v>
      </c>
      <c r="D38" s="9"/>
      <c r="E38" s="19">
        <v>45910</v>
      </c>
      <c r="F38" s="9" t="str">
        <f t="shared" si="0"/>
        <v>In Progess</v>
      </c>
      <c r="G38" s="10">
        <v>0.95</v>
      </c>
      <c r="H38" s="11">
        <f t="shared" si="1"/>
        <v>0</v>
      </c>
      <c r="I38" s="9" t="s">
        <v>53</v>
      </c>
      <c r="J38" s="23">
        <v>0.85</v>
      </c>
      <c r="K38" s="22">
        <v>0.95</v>
      </c>
    </row>
    <row r="39" spans="2:11" x14ac:dyDescent="0.25">
      <c r="B39" s="9" t="s">
        <v>27</v>
      </c>
      <c r="C39" s="9" t="s">
        <v>23</v>
      </c>
      <c r="D39" s="9"/>
      <c r="E39" s="19">
        <v>45912</v>
      </c>
      <c r="F39" s="9" t="str">
        <f t="shared" si="0"/>
        <v>In Progess</v>
      </c>
      <c r="G39" s="10">
        <v>0.9</v>
      </c>
      <c r="H39" s="11">
        <f t="shared" si="1"/>
        <v>0</v>
      </c>
      <c r="I39" s="9" t="s">
        <v>38</v>
      </c>
      <c r="J39" s="23">
        <v>0.8</v>
      </c>
      <c r="K39" s="22">
        <v>0.9</v>
      </c>
    </row>
    <row r="40" spans="2:11" x14ac:dyDescent="0.25">
      <c r="B40" s="9" t="s">
        <v>27</v>
      </c>
      <c r="C40" s="9" t="s">
        <v>43</v>
      </c>
      <c r="D40" s="9"/>
      <c r="E40" s="19">
        <v>45973</v>
      </c>
      <c r="F40" s="9" t="str">
        <f t="shared" ref="F40" si="2">IF(G40=1,"Complete",IF(G40&lt;&gt;0,"In Progess","Not Started"))</f>
        <v>In Progess</v>
      </c>
      <c r="G40" s="10">
        <v>0.2</v>
      </c>
      <c r="H40" s="11">
        <f t="shared" ref="H40" si="3">--(G40&gt;=1)</f>
        <v>0</v>
      </c>
      <c r="I40" s="9" t="s">
        <v>44</v>
      </c>
      <c r="J40" s="23">
        <v>0.2</v>
      </c>
      <c r="K40" s="22">
        <v>0.2</v>
      </c>
    </row>
    <row r="41" spans="2:11" ht="75" x14ac:dyDescent="0.25">
      <c r="B41" s="9" t="s">
        <v>10</v>
      </c>
      <c r="C41" s="9" t="s">
        <v>28</v>
      </c>
      <c r="D41" s="12"/>
      <c r="E41" s="19">
        <v>45912</v>
      </c>
      <c r="F41" s="9" t="str">
        <f t="shared" si="0"/>
        <v>In Progess</v>
      </c>
      <c r="G41" s="10">
        <v>0.6</v>
      </c>
      <c r="H41" s="11">
        <f t="shared" si="1"/>
        <v>0</v>
      </c>
      <c r="I41" s="9" t="s">
        <v>39</v>
      </c>
      <c r="J41" s="23">
        <v>0.6</v>
      </c>
      <c r="K41" s="22">
        <v>0.6</v>
      </c>
    </row>
    <row r="42" spans="2:11" x14ac:dyDescent="0.25">
      <c r="B42" s="7" t="s">
        <v>29</v>
      </c>
      <c r="C42" s="9" t="s">
        <v>34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</row>
    <row r="43" spans="2:11" x14ac:dyDescent="0.25">
      <c r="B43" s="7" t="s">
        <v>11</v>
      </c>
      <c r="C43" s="9" t="s">
        <v>35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</row>
    <row r="44" spans="2:11" x14ac:dyDescent="0.25">
      <c r="B44" s="7" t="s">
        <v>16</v>
      </c>
      <c r="C44" s="9" t="s">
        <v>30</v>
      </c>
      <c r="D44" s="12"/>
      <c r="E44" s="19">
        <v>45912</v>
      </c>
      <c r="F44" s="9" t="str">
        <f t="shared" si="0"/>
        <v>In Progess</v>
      </c>
      <c r="G44" s="13">
        <v>0.8</v>
      </c>
      <c r="H44" s="11">
        <f t="shared" si="1"/>
        <v>0</v>
      </c>
      <c r="I44" s="9"/>
      <c r="J44" s="23">
        <v>0.8</v>
      </c>
      <c r="K44" s="22">
        <v>0.8</v>
      </c>
    </row>
    <row r="45" spans="2:11" ht="30" x14ac:dyDescent="0.25">
      <c r="B45" s="7" t="s">
        <v>16</v>
      </c>
      <c r="C45" s="9" t="s">
        <v>31</v>
      </c>
      <c r="D45" s="12"/>
      <c r="E45" s="19">
        <v>46010</v>
      </c>
      <c r="F45" s="9" t="str">
        <f t="shared" si="0"/>
        <v>Not Started</v>
      </c>
      <c r="G45" s="13"/>
      <c r="H45" s="11">
        <f t="shared" si="1"/>
        <v>0</v>
      </c>
      <c r="I45" s="9" t="s">
        <v>37</v>
      </c>
      <c r="J45" s="23"/>
    </row>
    <row r="46" spans="2:11" x14ac:dyDescent="0.25">
      <c r="B46" s="7" t="s">
        <v>17</v>
      </c>
      <c r="C46" s="9" t="s">
        <v>32</v>
      </c>
      <c r="D46" s="12"/>
      <c r="E46" s="19">
        <v>46010</v>
      </c>
      <c r="F46" s="9" t="str">
        <f t="shared" si="0"/>
        <v>In Progess</v>
      </c>
      <c r="G46" s="13">
        <v>0.5</v>
      </c>
      <c r="H46" s="11">
        <f t="shared" si="1"/>
        <v>0</v>
      </c>
      <c r="I46" s="9"/>
      <c r="J46" s="23">
        <v>0.5</v>
      </c>
      <c r="K46" s="22">
        <v>0.5</v>
      </c>
    </row>
    <row r="47" spans="2:11" x14ac:dyDescent="0.25">
      <c r="B47" s="7" t="s">
        <v>18</v>
      </c>
      <c r="C47" s="9" t="s">
        <v>33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</row>
  </sheetData>
  <autoFilter ref="B3:BG47" xr:uid="{825F216F-6A2C-43F0-976D-4459909E096A}"/>
  <conditionalFormatting sqref="G4:G47">
    <cfRule type="dataBar" priority="1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7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G4:G47</xm:sqref>
        </x14:conditionalFormatting>
        <x14:conditionalFormatting xmlns:xm="http://schemas.microsoft.com/office/excel/2006/main">
          <x14:cfRule type="iconSet" priority="20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2025-09-08T13:29:01Z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