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BD2FEDAF-668A-41D1-9651-B01E684802F7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4" l="1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<sst xmlns="http://schemas.openxmlformats.org/spreadsheetml/2006/main" count="125" uniqueCount="71">
  <si>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</si>
  <si>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</si>
  <si>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</si>
  <si>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</si>
  <si>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</si>
  <si>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</si>
  <si>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</si>
  <si>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</si>
  <si>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</si>
  <si>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</si>
  <si>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</si>
  <si>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</si>
  <si>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</si>
  <si>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</si>
  <si>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</si>
  <si>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</si>
  <si>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</si>
  <si>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</si>
  <si>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</si>
  <si>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</si>
  <si>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</si>
  <si>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</si>
  <si>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</si>
  <si>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</si>
  <si>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</si>
  <si>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</si>
  <si>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</si>
  <si>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</si>
  <si>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</si>
  <si>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</si>
  <si>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</si>
  <si>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</si>
  <si>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</si>
  <si>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</si>
  <si>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</si>
  <si>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</si>
  <si>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</si>
  <si>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</si>
  <si>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</si>
  <si>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</si>
  <si>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</si>
  <si>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</si>
  <si>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</si>
  <si>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</si>
  <si>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</si>
  <si>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</si>
  <si>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</si>
  <si>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</si>
  <si>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</si>
  <si>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</si>
  <si>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</si>
  <si>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</si>
  <si>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</si>
  <si>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</si>
  <si>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</si>
  <si>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</si>
  <si>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</si>
  <si>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</si>
  <si>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</si>
  <si>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</si>
  <si>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</si>
  <si>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</si>
  <si>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>Not Started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</si>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</sst>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6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O4" sqref="O4:O49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customWidth="1"/>
    <col min="14" max="14" width="17.7109375" style="22" customWidth="1"/>
    <col min="15" max="15" width="16" style="22" customWidth="1"/>
    <col min="16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47</v>
      </c>
      <c r="F3" s="2" t="s">
        <v>50</v>
      </c>
      <c r="G3" s="5" t="s">
        <v>51</v>
      </c>
      <c r="H3" s="3" t="s">
        <v>1</v>
      </c>
      <c r="I3" s="5" t="s">
        <v>49</v>
      </c>
      <c r="J3" s="21" t="s">
        <v>48</v>
      </c>
      <c r="K3" s="21" t="s">
        <v>55</v>
      </c>
      <c r="L3" s="21" t="s">
        <v>56</v>
      </c>
      <c r="M3" s="21" t="s">
        <v>65</v>
      </c>
      <c r="N3" s="21" t="s">
        <v>68</v>
      </c>
      <c r="O3" s="21" t="s">
        <v>70</v>
      </c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0.4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0.9</v>
      </c>
      <c r="H5" s="11">
        <f t="shared" ref="H5:H49" si="1">--(G5&gt;=1)</f>
        <v>0</v>
      </c>
      <c r="I5" s="9"/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45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In Progess</v>
      </c>
      <c r="G8" s="10">
        <v>0.1</v>
      </c>
      <c r="H8" s="11">
        <f t="shared" si="1"/>
        <v>0</v>
      </c>
      <c r="I8" s="9"/>
      <c r="J8" s="23"/>
      <c r="N8" s="22">
        <v>0.1</v>
      </c>
      <c r="O8" s="22">
        <v>0.1</v>
      </c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54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</row>
    <row r="11" spans="2:59" ht="60" x14ac:dyDescent="0.25">
      <c r="B11" s="9" t="s">
        <v>5</v>
      </c>
      <c r="C11" s="15" t="s">
        <v>22</v>
      </c>
      <c r="D11" s="9" t="s">
        <v>67</v>
      </c>
      <c r="E11" s="19">
        <v>45917</v>
      </c>
      <c r="F11" s="9" t="str">
        <f t="shared" si="0"/>
        <v>In Progess</v>
      </c>
      <c r="G11" s="10">
        <v>0.8</v>
      </c>
      <c r="H11" s="11">
        <f t="shared" si="1"/>
        <v>0</v>
      </c>
      <c r="I11" s="9" t="s">
        <v>66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In Progess</v>
      </c>
      <c r="G13" s="10">
        <v>0.4</v>
      </c>
      <c r="H13" s="11">
        <f t="shared" si="1"/>
        <v>0</v>
      </c>
      <c r="I13" s="9"/>
      <c r="J13" s="23"/>
      <c r="O13" s="22">
        <v>0.4</v>
      </c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46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</row>
    <row r="17" spans="2:15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5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5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5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5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59</v>
      </c>
      <c r="J21" s="23"/>
      <c r="L21" s="22">
        <v>0.4</v>
      </c>
      <c r="M21" s="22">
        <v>0.65</v>
      </c>
      <c r="N21" s="22">
        <v>0.75</v>
      </c>
      <c r="O21" s="22">
        <v>0.75</v>
      </c>
    </row>
    <row r="22" spans="2:15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</row>
    <row r="23" spans="2:15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5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5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5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57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</row>
    <row r="27" spans="2:15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</row>
    <row r="28" spans="2:15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5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5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58</v>
      </c>
      <c r="J30" s="23"/>
      <c r="L30" s="22">
        <v>0.5</v>
      </c>
      <c r="M30" s="22">
        <v>0.8</v>
      </c>
      <c r="N30" s="22">
        <v>0.8</v>
      </c>
      <c r="O30" s="22">
        <v>0.8</v>
      </c>
    </row>
    <row r="31" spans="2:15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  <c r="O31" s="22">
        <v>0.5</v>
      </c>
    </row>
    <row r="32" spans="2:15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5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5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5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</row>
    <row r="36" spans="2:15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In Progess</v>
      </c>
      <c r="G36" s="10">
        <v>0.2</v>
      </c>
      <c r="H36" s="11">
        <f t="shared" si="1"/>
        <v>0</v>
      </c>
      <c r="I36" s="9"/>
      <c r="J36" s="23"/>
      <c r="N36" s="22">
        <v>0.2</v>
      </c>
      <c r="O36" s="22">
        <v>0.2</v>
      </c>
    </row>
    <row r="37" spans="2:15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</row>
    <row r="38" spans="2:15" ht="90" x14ac:dyDescent="0.25">
      <c r="B38" s="9" t="s">
        <v>27</v>
      </c>
      <c r="C38" s="9" t="s">
        <v>53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52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</row>
    <row r="39" spans="2:15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38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</row>
    <row r="40" spans="2:15" ht="30" x14ac:dyDescent="0.25">
      <c r="B40" s="9" t="s">
        <v>27</v>
      </c>
      <c r="C40" s="9" t="s">
        <v>43</v>
      </c>
      <c r="D40" s="9" t="s">
        <v>69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0.6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</row>
    <row r="41" spans="2:15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39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</row>
    <row r="42" spans="2:15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</row>
    <row r="43" spans="2:15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</row>
    <row r="44" spans="2:15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</row>
    <row r="45" spans="2:15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5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</row>
    <row r="47" spans="2:15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</row>
    <row r="48" spans="2:15" ht="45" x14ac:dyDescent="0.25">
      <c r="B48" t="s">
        <v>60</v>
      </c>
      <c r="C48" s="6" t="s">
        <v>61</v>
      </c>
      <c r="E48" s="20">
        <v>46010</v>
      </c>
      <c r="F48" t="s">
        <v>62</v>
      </c>
      <c r="G48" s="24">
        <v>0</v>
      </c>
      <c r="H48" s="25">
        <f t="shared" si="1"/>
        <v>0</v>
      </c>
      <c r="L48" s="22">
        <v>0</v>
      </c>
      <c r="M48" s="22">
        <v>0</v>
      </c>
      <c r="N48" s="22">
        <v>0</v>
      </c>
      <c r="O48" s="22">
        <v>0</v>
      </c>
    </row>
    <row r="49" spans="2:15" x14ac:dyDescent="0.25">
      <c r="B49" t="s">
        <v>63</v>
      </c>
      <c r="C49" s="6" t="s">
        <v>64</v>
      </c>
      <c r="E49" s="20">
        <v>45918</v>
      </c>
      <c r="F49" t="s">
        <v>54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</row>
  </sheetData>
  <autoFilter ref="B3:BG47" xr:uid="{825F216F-6A2C-43F0-976D-4459909E096A}"/>
  <conditionalFormatting sqref="G4:G49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1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2025-10-06T11:05:33Z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