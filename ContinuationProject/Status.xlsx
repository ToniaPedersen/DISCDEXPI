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A8701DBF-7392-45E1-9C7B-2716CE434784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<sst xmlns="http://schemas.openxmlformats.org/spreadsheetml/2006/main" count="126" uniqueCount="73">
  <si>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</si>
  <si>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</si>
  <si>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</si>
  <si>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</si>
  <si>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</si>
  <si>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</si>
  <si>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</si>
  <si>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</si>
  <si>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</si>
  <si>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</si>
  <si>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</si>
  <si>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</si>
  <si>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</si>
  <si>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</si>
  <si>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</si>
  <si>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</si>
  <si>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</si>
  <si>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</si>
  <si>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</si>
  <si>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</si>
  <si>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</si>
  <si>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</si>
  <si>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</si>
  <si>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</si>
  <si>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</si>
  <si>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</si>
  <si>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</si>
  <si>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</si>
  <si>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</si>
  <si>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</si>
  <si>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</si>
  <si>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</si>
  <si>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</si>
  <si>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</si>
  <si>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</si>
  <si>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</si>
  <si>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</si>
  <si>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</si>
  <si>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</si>
  <si>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</si>
  <si>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</si>
  <si>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</si>
  <si>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</si>
  <si>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</si>
  <si>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</si>
  <si>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</si>
  <si>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</si>
  <si>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</si>
  <si>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</si>
  <si>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</si>
  <si>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</si>
  <si>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</si>
  <si>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</si>
  <si>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</si>
  <si>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</si>
  <si>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</si>
  <si>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</si>
  <si>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</si>
  <si>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</si>
  <si>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</si>
  <si>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</si>
  <si>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</si>
  <si>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</si>
  <si>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</si>
  <si>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</si>
  <si>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</si>
  <si>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</si>
  <si>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</si>
  <si>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</si>
  <si>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</si>
  <si>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Exact text positions - fine adjustments</t>
  </si>
  <si>
    <t>13.10.2025</t>
  </si>
  <si>
    <t>Some issues with original files.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</si>
</sst>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P46" sqref="P46"/>
    </sheetView>
  </sheetViews>
  <sheetFormatPr defaultRowHeight="15" x14ac:dyDescent="0.25"/>
  <cols>
    <col min="1" max="1" width="5.85546875" customWidth="1"/>
    <col min="2" max="2" width="45.42578125" customWidth="1"/>
    <col min="3" max="3" width="64.42578125" customWidth="1"/>
    <col min="4" max="4" width="33.4257812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customWidth="1"/>
    <col min="15" max="15" width="16" style="22" customWidth="1"/>
    <col min="16" max="16" width="16.42578125" customWidth="1"/>
    <col min="17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46</v>
      </c>
      <c r="F3" s="2" t="s">
        <v>49</v>
      </c>
      <c r="G3" s="5" t="s">
        <v>50</v>
      </c>
      <c r="H3" s="3" t="s">
        <v>1</v>
      </c>
      <c r="I3" s="5" t="s">
        <v>48</v>
      </c>
      <c r="J3" s="21" t="s">
        <v>47</v>
      </c>
      <c r="K3" s="21" t="s">
        <v>54</v>
      </c>
      <c r="L3" s="21" t="s">
        <v>55</v>
      </c>
      <c r="M3" s="21" t="s">
        <v>63</v>
      </c>
      <c r="N3" s="21" t="s">
        <v>66</v>
      </c>
      <c r="O3" s="21" t="s">
        <v>68</v>
      </c>
      <c r="P3" s="27" t="s">
        <v>71</v>
      </c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5" x14ac:dyDescent="0.25">
      <c r="B4" s="9" t="s">
        <v>12</v>
      </c>
      <c r="C4" s="9" t="s">
        <v>13</v>
      </c>
      <c r="D4" s="9" t="s">
        <v>69</v>
      </c>
      <c r="E4" s="19">
        <v>46010</v>
      </c>
      <c r="F4" s="9" t="str">
        <f>IF(G4=1,"Complete",IF(G4&lt;&gt;0,"In Progess","Not Started"))</f>
        <v>In Progess</v>
      </c>
      <c r="G4" s="10">
        <v>0.8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0.95</v>
      </c>
      <c r="H5" s="11">
        <f t="shared" ref="H5:H49" si="1">--(G5&gt;=1)</f>
        <v>0</v>
      </c>
      <c r="I5" s="9" t="s">
        <v>70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</row>
    <row r="6" spans="2:59" ht="45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 t="s">
        <v>44</v>
      </c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In Progess</v>
      </c>
      <c r="G8" s="10">
        <v>0.2</v>
      </c>
      <c r="H8" s="11">
        <f t="shared" si="1"/>
        <v>0</v>
      </c>
      <c r="I8" s="9"/>
      <c r="J8" s="23"/>
      <c r="N8" s="22">
        <v>0.1</v>
      </c>
      <c r="O8" s="22">
        <v>0.1</v>
      </c>
      <c r="P8" s="28">
        <v>0.2</v>
      </c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  <c r="P9" s="28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53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</row>
    <row r="11" spans="2:59" ht="45" x14ac:dyDescent="0.25">
      <c r="B11" s="9" t="s">
        <v>5</v>
      </c>
      <c r="C11" s="15" t="s">
        <v>22</v>
      </c>
      <c r="D11" s="9" t="s">
        <v>65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64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/>
      <c r="J13" s="23"/>
      <c r="O13" s="22">
        <v>0.4</v>
      </c>
      <c r="P13" s="28">
        <v>0.15</v>
      </c>
    </row>
    <row r="14" spans="2:59" x14ac:dyDescent="0.25">
      <c r="B14" s="9" t="s">
        <v>6</v>
      </c>
      <c r="C14" s="9" t="s">
        <v>40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41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45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</row>
    <row r="17" spans="2:16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  <c r="P17" s="28"/>
    </row>
    <row r="18" spans="2:16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6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6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6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58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</row>
    <row r="22" spans="2:16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</row>
    <row r="23" spans="2:16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6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6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6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56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</row>
    <row r="27" spans="2:16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</row>
    <row r="28" spans="2:16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In Progess</v>
      </c>
      <c r="G28" s="10">
        <v>0.75</v>
      </c>
      <c r="H28" s="11">
        <f t="shared" si="1"/>
        <v>0</v>
      </c>
      <c r="I28" s="9"/>
      <c r="J28" s="23"/>
      <c r="P28" s="28">
        <v>0.75</v>
      </c>
    </row>
    <row r="29" spans="2:16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  <c r="P29" s="28"/>
    </row>
    <row r="30" spans="2:16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57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</row>
    <row r="31" spans="2:16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</row>
    <row r="32" spans="2:16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  <c r="P32" s="28"/>
    </row>
    <row r="33" spans="2:16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  <c r="P33" s="28"/>
    </row>
    <row r="34" spans="2:16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  <c r="P34" s="28"/>
    </row>
    <row r="35" spans="2:16" x14ac:dyDescent="0.25">
      <c r="B35" s="9" t="s">
        <v>39</v>
      </c>
      <c r="C35" s="9" t="s">
        <v>22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</row>
    <row r="36" spans="2:16" x14ac:dyDescent="0.25">
      <c r="B36" s="9" t="s">
        <v>39</v>
      </c>
      <c r="C36" s="9" t="s">
        <v>23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</row>
    <row r="37" spans="2:16" x14ac:dyDescent="0.25">
      <c r="B37" s="9" t="s">
        <v>39</v>
      </c>
      <c r="C37" s="9" t="s">
        <v>24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</row>
    <row r="38" spans="2:16" ht="90" x14ac:dyDescent="0.25">
      <c r="B38" s="9" t="s">
        <v>27</v>
      </c>
      <c r="C38" s="9" t="s">
        <v>52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51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</row>
    <row r="39" spans="2:16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37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</row>
    <row r="40" spans="2:16" ht="30" x14ac:dyDescent="0.25">
      <c r="B40" s="9" t="s">
        <v>27</v>
      </c>
      <c r="C40" s="9" t="s">
        <v>42</v>
      </c>
      <c r="D40" s="9" t="s">
        <v>67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43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</row>
    <row r="41" spans="2:16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38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</row>
    <row r="42" spans="2:16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</row>
    <row r="43" spans="2:16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</row>
    <row r="44" spans="2:16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</row>
    <row r="45" spans="2:16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In Progess</v>
      </c>
      <c r="G45" s="13">
        <v>0.1</v>
      </c>
      <c r="H45" s="11">
        <f t="shared" si="1"/>
        <v>0</v>
      </c>
      <c r="I45" s="9" t="s">
        <v>72</v>
      </c>
      <c r="J45" s="23"/>
      <c r="P45" s="29">
        <v>0.1</v>
      </c>
    </row>
    <row r="46" spans="2:16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</row>
    <row r="47" spans="2:16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</row>
    <row r="48" spans="2:16" ht="45" x14ac:dyDescent="0.25">
      <c r="B48" t="s">
        <v>59</v>
      </c>
      <c r="C48" s="6" t="s">
        <v>60</v>
      </c>
      <c r="E48" s="20">
        <v>46010</v>
      </c>
      <c r="F48" s="9" t="str">
        <f t="shared" si="0"/>
        <v>In Progess</v>
      </c>
      <c r="G48" s="24">
        <v>0.15</v>
      </c>
      <c r="H48" s="25">
        <f t="shared" si="1"/>
        <v>0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</row>
    <row r="49" spans="2:16" x14ac:dyDescent="0.25">
      <c r="B49" t="s">
        <v>61</v>
      </c>
      <c r="C49" s="6" t="s">
        <v>62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2025-10-13T11:36:47Z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