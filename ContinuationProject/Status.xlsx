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164970BF-6145-4C88-A3F9-2A48DDDB460E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<sst xmlns="http://schemas.openxmlformats.org/spreadsheetml/2006/main" count="134" uniqueCount="81">
  <si>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</si>
  <si>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</si>
  <si>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</si>
  <si>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</si>
  <si>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</si>
  <si>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</si>
  <si>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</si>
  <si>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</si>
  <si>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</si>
  <si>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</si>
  <si>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</si>
  <si>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</si>
  <si>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</si>
  <si>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</si>
  <si>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</si>
  <si>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</si>
  <si>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</si>
  <si>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</si>
  <si>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</si>
  <si>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</si>
  <si>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</si>
  <si>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</si>
  <si>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</si>
  <si>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</si>
  <si>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</si>
  <si>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</si>
  <si>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</si>
  <si>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</si>
  <si>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</si>
  <si>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</si>
  <si>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</si>
  <si>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</si>
  <si>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</si>
  <si>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</si>
  <si>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</si>
  <si>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</si>
  <si>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</si>
  <si>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</si>
  <si>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</si>
  <si>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</si>
  <si>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</si>
  <si>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</si>
  <si>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</si>
  <si>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</si>
  <si>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</si>
  <si>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</si>
  <si>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</si>
  <si>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</si>
  <si>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</si>
  <si>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</si>
  <si>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</si>
  <si>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</si>
  <si>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</si>
  <si>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</si>
  <si>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</si>
  <si>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</si>
  <si>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</si>
  <si>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</si>
  <si>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</si>
  <si>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</si>
  <si>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</si>
  <si>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</si>
  <si>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</si>
  <si>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</si>
  <si>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</si>
  <si>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</si>
  <si>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</si>
  <si>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</si>
  <si>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</si>
  <si>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Available in DEXPI 2.0 xml</t>
  </si>
  <si>
    <t>Not needed as can be managed in DEXPI 2.0</t>
  </si>
  <si>
    <t>03.11.2025</t>
  </si>
  <si>
    <t>Line styles to be added.</t>
  </si>
  <si>
    <t>Issue fixed from old versions in-progress</t>
  </si>
  <si>
    <t>Keep as is with no new sub-types</t>
  </si>
  <si>
    <t>Not needed .. Use type attribute</t>
  </si>
  <si>
    <t>No definition required in profile</t>
  </si>
  <si>
    <t>10.11.2025</t>
  </si>
  <si>
    <t>Checking html symbol info, attr. Desc, FillLevel</t>
  </si>
  <si>
    <t>Not yet pushed .. Persistent id missing</t>
  </si>
  <si>
    <t>Persistant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</si>
</sst>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5" sqref="R5"/>
    </sheetView>
  </sheetViews>
  <sheetFormatPr defaultRowHeight="15" x14ac:dyDescent="0.25"/>
  <cols>
    <col min="1" max="1" width="5.85546875" customWidth="1"/>
    <col min="2" max="2" width="28.140625" customWidth="1"/>
    <col min="3" max="3" width="56.7109375" customWidth="1"/>
    <col min="4" max="4" width="19.285156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customWidth="1"/>
    <col min="18" max="18" width="19.140625" style="22" customWidth="1"/>
    <col min="19" max="19" width="15.42578125" style="22" customWidth="1"/>
    <col min="20" max="20" width="20.28515625" style="22" customWidth="1"/>
    <col min="21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41</v>
      </c>
      <c r="F3" s="2" t="s">
        <v>44</v>
      </c>
      <c r="G3" s="5" t="s">
        <v>45</v>
      </c>
      <c r="H3" s="3" t="s">
        <v>1</v>
      </c>
      <c r="I3" s="5" t="s">
        <v>43</v>
      </c>
      <c r="J3" s="21" t="s">
        <v>42</v>
      </c>
      <c r="K3" s="21" t="s">
        <v>49</v>
      </c>
      <c r="L3" s="21" t="s">
        <v>50</v>
      </c>
      <c r="M3" s="21" t="s">
        <v>57</v>
      </c>
      <c r="N3" s="21" t="s">
        <v>60</v>
      </c>
      <c r="O3" s="21" t="s">
        <v>62</v>
      </c>
      <c r="P3" s="27" t="s">
        <v>64</v>
      </c>
      <c r="Q3" s="27" t="s">
        <v>65</v>
      </c>
      <c r="R3" s="27" t="s">
        <v>66</v>
      </c>
      <c r="S3" s="27" t="s">
        <v>71</v>
      </c>
      <c r="T3" s="27" t="s">
        <v>77</v>
      </c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90" x14ac:dyDescent="0.25">
      <c r="B4" s="9" t="s">
        <v>12</v>
      </c>
      <c r="C4" s="9" t="s">
        <v>13</v>
      </c>
      <c r="D4" s="9" t="s">
        <v>63</v>
      </c>
      <c r="E4" s="19">
        <v>46010</v>
      </c>
      <c r="F4" s="9" t="str">
        <f>IF(G4=1,"Complete",IF(G4&lt;&gt;0,"In Progess","Not Started"))</f>
        <v>In Progess</v>
      </c>
      <c r="G4" s="10">
        <v>0.95</v>
      </c>
      <c r="H4" s="11">
        <f>--(G4&gt;=1)</f>
        <v>0</v>
      </c>
      <c r="I4" s="9" t="s">
        <v>72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0.98</v>
      </c>
      <c r="H5" s="11">
        <f t="shared" ref="H5:H49" si="1">--(G5&gt;=1)</f>
        <v>0</v>
      </c>
      <c r="I5" s="9" t="s">
        <v>78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</row>
    <row r="7" spans="2:59" ht="30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0.95</v>
      </c>
      <c r="H9" s="11">
        <f t="shared" si="1"/>
        <v>0</v>
      </c>
      <c r="I9" s="9" t="s">
        <v>79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48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</row>
    <row r="11" spans="2:59" ht="45" x14ac:dyDescent="0.25">
      <c r="B11" s="9" t="s">
        <v>5</v>
      </c>
      <c r="C11" s="15" t="s">
        <v>21</v>
      </c>
      <c r="D11" s="9" t="s">
        <v>59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58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0.2</v>
      </c>
      <c r="H13" s="11">
        <f t="shared" si="1"/>
        <v>0</v>
      </c>
      <c r="I13" s="9" t="s">
        <v>73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40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</row>
    <row r="16" spans="2:59" ht="30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In Progess</v>
      </c>
      <c r="G16" s="10">
        <v>0.5</v>
      </c>
      <c r="H16" s="11">
        <f t="shared" si="1"/>
        <v>0</v>
      </c>
      <c r="I16" s="6" t="s">
        <v>69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</row>
    <row r="17" spans="2:20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70</v>
      </c>
      <c r="J17" s="23"/>
      <c r="P17" s="28"/>
      <c r="R17" s="22">
        <v>1</v>
      </c>
      <c r="S17" s="22">
        <v>1</v>
      </c>
      <c r="T17" s="22">
        <v>1</v>
      </c>
    </row>
    <row r="18" spans="2:20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</row>
    <row r="19" spans="2:20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76</v>
      </c>
      <c r="J19" s="23"/>
      <c r="P19" s="28"/>
      <c r="S19" s="22">
        <v>1</v>
      </c>
      <c r="T19" s="22">
        <v>1</v>
      </c>
    </row>
    <row r="20" spans="2:20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0.2</v>
      </c>
      <c r="H20" s="11">
        <f t="shared" si="1"/>
        <v>0</v>
      </c>
      <c r="J20" s="23"/>
      <c r="P20" s="28"/>
      <c r="S20" s="22">
        <v>0.2</v>
      </c>
      <c r="T20" s="22">
        <v>0.2</v>
      </c>
    </row>
    <row r="21" spans="2:20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52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</row>
    <row r="22" spans="2:20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0.4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</row>
    <row r="23" spans="2:20" ht="30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20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0" x14ac:dyDescent="0.25">
      <c r="B25" s="9" t="s">
        <v>8</v>
      </c>
      <c r="C25" s="9" t="s">
        <v>23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20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51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</row>
    <row r="27" spans="2:20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</row>
    <row r="28" spans="2:20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</row>
    <row r="29" spans="2:20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</row>
    <row r="30" spans="2:20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75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</row>
    <row r="31" spans="2:20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74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</row>
    <row r="32" spans="2:20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</row>
    <row r="33" spans="2:20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</row>
    <row r="34" spans="2:20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</row>
    <row r="35" spans="2:20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</row>
    <row r="36" spans="2:20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</row>
    <row r="37" spans="2:20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0.95</v>
      </c>
      <c r="H37" s="11">
        <f t="shared" si="1"/>
        <v>0</v>
      </c>
      <c r="I37" s="9" t="s">
        <v>80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</row>
    <row r="38" spans="2:20" ht="75" x14ac:dyDescent="0.25">
      <c r="B38" s="9" t="s">
        <v>26</v>
      </c>
      <c r="C38" s="9" t="s">
        <v>47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46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</row>
    <row r="39" spans="2:20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</row>
    <row r="40" spans="2:20" ht="30" x14ac:dyDescent="0.25">
      <c r="B40" s="9" t="s">
        <v>26</v>
      </c>
      <c r="C40" s="9" t="s">
        <v>39</v>
      </c>
      <c r="D40" s="9" t="s">
        <v>61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67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</row>
    <row r="41" spans="2:2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</row>
    <row r="42" spans="2:20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</row>
    <row r="43" spans="2:20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</row>
    <row r="44" spans="2:20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</row>
    <row r="45" spans="2:20" ht="30" x14ac:dyDescent="0.25">
      <c r="B45" s="7" t="s">
        <v>15</v>
      </c>
      <c r="C45" s="9" t="s">
        <v>68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</row>
    <row r="46" spans="2:20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</row>
    <row r="47" spans="2:20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0.6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</row>
    <row r="48" spans="2:20" ht="45" x14ac:dyDescent="0.25">
      <c r="B48" t="s">
        <v>53</v>
      </c>
      <c r="C48" s="6" t="s">
        <v>54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</row>
    <row r="49" spans="2:20" x14ac:dyDescent="0.25">
      <c r="B49" t="s">
        <v>55</v>
      </c>
      <c r="C49" s="6" t="s">
        <v>56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2025-11-10T13:02:19Z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