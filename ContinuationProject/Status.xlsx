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DISCDEXPI\ContinuationProject\"/>
    </mc:Choice>
  </mc:AlternateContent>
  <xr:revisionPtr revIDLastSave="0" documentId="13_ncr:1_{35908EE8-1559-46D1-9ACD-81BFD467251B}" xr6:coauthVersionLast="47" xr6:coauthVersionMax="47" xr10:uidLastSave="{00000000-0000-0000-0000-000000000000}"/>
  <bookViews>
    <workbookView xWindow="28680" yWindow="-120" windowWidth="29040" windowHeight="17520" activeTab="1" xr2:uid="{D76F2AFF-8B83-4673-A33F-A4D572D8D434}"/>
    <workbookView xWindow="-120" yWindow="-120" windowWidth="29040" windowHeight="17520" xr2:uid="{942B4681-B083-4B8C-B35C-475A016407EB}"/>
  </bookViews>
  <sheets>
    <sheet name="Status" sheetId="4" r:id="rId1"/>
    <sheet name="Sheet1" sheetId="5" r:id="rId2"/>
    <sheet name="AdditionalActivities" sheetId="2" state="hidden" r:id="rId3"/>
  </sheets>
  <definedNames>
    <definedName name="_xlnm._FilterDatabase" localSheetId="0" hidden="1">Status!$B$3:$AS$46</definedName>
    <definedName name="_xlnm.Print_Area" localSheetId="0">Status!$B$1:$I$46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3" i="4" l="1"/>
  <c r="H51" i="4"/>
  <c r="H50" i="4"/>
  <c r="H49" i="4"/>
  <c r="F26" i="4"/>
  <c r="F25" i="4"/>
  <c r="F24" i="4"/>
  <c r="F23" i="4"/>
  <c r="F22" i="4"/>
  <c r="F21" i="4"/>
  <c r="F15" i="4"/>
  <c r="F14" i="4"/>
  <c r="F12" i="4"/>
  <c r="F11" i="4"/>
  <c r="F10" i="4"/>
  <c r="F8" i="4"/>
  <c r="F7" i="4"/>
  <c r="F6" i="4"/>
  <c r="H52" i="4"/>
  <c r="H48" i="4" l="1"/>
  <c r="H47" i="4"/>
  <c r="H40" i="4" l="1"/>
  <c r="H35" i="4"/>
  <c r="F41" i="4"/>
  <c r="F42" i="4"/>
  <c r="F43" i="4"/>
  <c r="F44" i="4"/>
  <c r="F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6" i="4"/>
  <c r="H37" i="4"/>
  <c r="H38" i="4"/>
  <c r="H39" i="4"/>
  <c r="H41" i="4"/>
  <c r="H42" i="4"/>
  <c r="H43" i="4"/>
  <c r="H44" i="4"/>
  <c r="H45" i="4"/>
  <c r="H46" i="4"/>
  <c r="H4" i="4"/>
</calcChain>
</file>

<file path=xl/sharedStrings.xml><?xml version="1.0" encoding="utf-8"?>
<sst xmlns="http://schemas.openxmlformats.org/spreadsheetml/2006/main" count="202" uniqueCount="121">
  <si>
    <t>DISC DEXPI Continuation Project - Status</t>
  </si>
  <si>
    <t>DONE?</t>
  </si>
  <si>
    <t>Task</t>
  </si>
  <si>
    <t>Gap Section Label</t>
  </si>
  <si>
    <t>Additional details</t>
  </si>
  <si>
    <t>Target Date</t>
  </si>
  <si>
    <t>Notes</t>
  </si>
  <si>
    <t>Status</t>
  </si>
  <si>
    <t>%Complete</t>
  </si>
  <si>
    <t>Complete</t>
  </si>
  <si>
    <t>21.04.2026</t>
  </si>
  <si>
    <t>Missing Symbol</t>
  </si>
  <si>
    <t>OPC: ToFromHeader_bottom</t>
  </si>
  <si>
    <t>OPC: ToFromHeader_top</t>
  </si>
  <si>
    <t>Vent To Safe</t>
  </si>
  <si>
    <t>Bird Screen</t>
  </si>
  <si>
    <t>TStrainerTemporary</t>
  </si>
  <si>
    <t>Monoflange Valve</t>
  </si>
  <si>
    <t>Electrical Gas Heater</t>
  </si>
  <si>
    <t>BucketFilter</t>
  </si>
  <si>
    <t>Caisson</t>
  </si>
  <si>
    <t>VaneTypeDistributer</t>
  </si>
  <si>
    <t>WireMeshDemister</t>
  </si>
  <si>
    <t>CycloneMat</t>
  </si>
  <si>
    <t>PIF: Non SASFunc Local Panel</t>
  </si>
  <si>
    <t>PIF: SAS Func VDU Local Panel</t>
  </si>
  <si>
    <t>PIF: Inst Behind Local Panel</t>
  </si>
  <si>
    <t>PIF: Heat Traced</t>
  </si>
  <si>
    <t>Electro/Hydraulic Actuator</t>
  </si>
  <si>
    <t>AreaBreak</t>
  </si>
  <si>
    <t>BlindFlange_Double</t>
  </si>
  <si>
    <t>OPC: HeaderWithMainTag_bottom</t>
  </si>
  <si>
    <t>OPC: HeaderWithMainTag_top</t>
  </si>
  <si>
    <t>Plug</t>
  </si>
  <si>
    <t>ModularValve_NormalOpenOptions (Double Isolation and Bleed)</t>
  </si>
  <si>
    <t>ModularValve_NormalOpenOptions (Double Block Bleed and Check)</t>
  </si>
  <si>
    <t>DemistingCyclone</t>
  </si>
  <si>
    <t>RemovableSpool</t>
  </si>
  <si>
    <t>OPC: Dual Flow Full</t>
  </si>
  <si>
    <t>Bunded Area</t>
  </si>
  <si>
    <t>WaterInOilAnalyser</t>
  </si>
  <si>
    <t>OilInWaterAnalyser</t>
  </si>
  <si>
    <t>UltrasonicFlowClampOn</t>
  </si>
  <si>
    <t>TundishNoArrow</t>
  </si>
  <si>
    <t>NozzleHoseConn</t>
  </si>
  <si>
    <t>PSVValvePilot</t>
  </si>
  <si>
    <t>Pump</t>
  </si>
  <si>
    <t>SymbolAdjustment</t>
  </si>
  <si>
    <t>Milestone</t>
  </si>
  <si>
    <t>Name</t>
  </si>
  <si>
    <t>Milestone Target Date</t>
  </si>
  <si>
    <t>Actual/ Suggested Revised Date</t>
  </si>
  <si>
    <t>DEXPIM00</t>
  </si>
  <si>
    <t>Project environment set up</t>
  </si>
  <si>
    <t>16.02.2026</t>
  </si>
  <si>
    <t>18.03.2026*</t>
  </si>
  <si>
    <t>Prepare project plan detail Phase1 - Phase3 deliveries</t>
  </si>
  <si>
    <t>Make available current DISC DEXPI verificator alpha 4 (pnb Toolbox 2.0.0 alpha 4 for DEXPI 2.0 - DISC III) in accordance with licensing agreements.</t>
  </si>
  <si>
    <t>DEXPIM01</t>
  </si>
  <si>
    <t>Phase1</t>
  </si>
  <si>
    <t>19.03.2026</t>
  </si>
  <si>
    <t>Create missing symbols identified by Aibel (Ref: Appendix A: Missing Symbols) in DEXPI format.</t>
  </si>
  <si>
    <t>Phase1 delivery of DISC DEXPI profile version 0.4 to include new symbols (HTML &amp; XML versions)</t>
  </si>
  <si>
    <t>Phase 1 delivery of Verificator alpha 5 in accordance with licensing agreements:</t>
  </si>
  <si>
    <t>* full verification on DEXPI-level (e.g., correct types, multiplicities, ...)</t>
  </si>
  <si>
    <t>* only "meaningful" error messages</t>
  </si>
  <si>
    <t>* usage of DISC symbols in diagram</t>
  </si>
  <si>
    <t>* export of error messages and SVG</t>
  </si>
  <si>
    <t>DEXPIM02</t>
  </si>
  <si>
    <t>Phase2</t>
  </si>
  <si>
    <t>16.4.2026</t>
  </si>
  <si>
    <t>19.5.2026</t>
  </si>
  <si>
    <t>Modify ‘incorrect’ size/connection point symbols as identified by Aibel (max 20).</t>
  </si>
  <si>
    <t>Phase2 delivery of DISC DEXPI profile version 0.5 to include updated symbols. (HTML &amp; XML versions)</t>
  </si>
  <si>
    <t>Phase2 delivery of Verificator alpha 6 in accordance with licensing agreements; this is alpha 5 with addition of:</t>
  </si>
  <si>
    <t>* full DISC verification (e.g., correct symbol usage, connection points, ...)</t>
  </si>
  <si>
    <t>DEXPIM03</t>
  </si>
  <si>
    <t>Phase3 Finalization</t>
  </si>
  <si>
    <t>21.5.2026</t>
  </si>
  <si>
    <t>25.6.2026</t>
  </si>
  <si>
    <t>Deliver DISC DEXPI digital profile version 0.6 with PCA symbol reference placeholder.</t>
  </si>
  <si>
    <t>Deliver revised Blueprint files with updated symbol details.</t>
  </si>
  <si>
    <t>Deliver human-readable profile (HTML)</t>
  </si>
  <si>
    <t>Phase3 delivery of Verificator beta 1; this is alpha 6 with addition of:</t>
  </si>
  <si>
    <t>* GUI (incl. linked views for conceptual model tree and graphics)</t>
  </si>
  <si>
    <t>Deliver final report for DISC DEXPI</t>
  </si>
  <si>
    <t>Added Symbol</t>
  </si>
  <si>
    <t>Not Required</t>
  </si>
  <si>
    <t>PIF: Shutdown</t>
  </si>
  <si>
    <t>In Progress</t>
  </si>
  <si>
    <t>Not Started</t>
  </si>
  <si>
    <t>DISC DEXPI Profile - M1</t>
  </si>
  <si>
    <t>Add new symbols to profile, enumeration types</t>
  </si>
  <si>
    <t>Verificator - M1</t>
  </si>
  <si>
    <t>Verification at DEXPI - level (correct types, multiplicities)</t>
  </si>
  <si>
    <t>Verification to provide only 'meaningful' error messages</t>
  </si>
  <si>
    <t>Verification of DISC profile symbols in diagram</t>
  </si>
  <si>
    <t>Verificator to output error messages and SVG</t>
  </si>
  <si>
    <t>Update Symbol Ref ID</t>
  </si>
  <si>
    <t>DISC DEXPI Profile - M2</t>
  </si>
  <si>
    <t>Verificator - M2</t>
  </si>
  <si>
    <t>Verification full DISC DEXPI Verificator for error validation (e.g. Correct symbol usage, connection points ...)</t>
  </si>
  <si>
    <t>Update to all relevant symbols to remove NORSOK identifiers.</t>
  </si>
  <si>
    <t>Add updated symbols to profile, enumeration types from M2 group</t>
  </si>
  <si>
    <t>DISC DEXPI Profile - M3</t>
  </si>
  <si>
    <t>Verificator - M3</t>
  </si>
  <si>
    <t>Add final updates to symbol provide before 1.06.2026</t>
  </si>
  <si>
    <t>Add PCA symbol reference URI placeholder</t>
  </si>
  <si>
    <t>Blueprint - rev 10</t>
  </si>
  <si>
    <t>Blueprint files with updated symbols</t>
  </si>
  <si>
    <t>HTML - human readable Profile</t>
  </si>
  <si>
    <t>Verificator beta 1 (alpha 6) with GUI - linking between model tree and graphics.</t>
  </si>
  <si>
    <t>Need to discuss number of new symbols</t>
  </si>
  <si>
    <t>Requirements Document Update</t>
  </si>
  <si>
    <t>Deliver final report of project and updated Requirements Document</t>
  </si>
  <si>
    <t>Symbol not required</t>
  </si>
  <si>
    <t>New Type code</t>
  </si>
  <si>
    <t>New symbol option - invalid grid points</t>
  </si>
  <si>
    <t>Delayed by project approval</t>
  </si>
  <si>
    <t>Need to check with project files.</t>
  </si>
  <si>
    <t>19/05/2026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</si>
</sst>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&quot;Done&quot;;&quot;&quot;;&quot;&quot;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 tint="0.24994659260841701"/>
      <name val="Aptos Narrow"/>
      <family val="2"/>
      <scheme val="minor"/>
    </font>
    <font>
      <b/>
      <u/>
      <sz val="28"/>
      <color theme="3"/>
      <name val="Bookman Old Style"/>
      <family val="1"/>
    </font>
    <font>
      <b/>
      <sz val="13"/>
      <color theme="1"/>
      <name val="Aptos Narrow"/>
      <family val="2"/>
      <scheme val="minor"/>
    </font>
    <font>
      <b/>
      <sz val="12"/>
      <color rgb="FF000000"/>
      <name val="Aptos"/>
      <family val="2"/>
    </font>
    <font>
      <sz val="12"/>
      <color rgb="FF000000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164" fontId="4" fillId="0" borderId="0">
      <alignment horizontal="center" vertical="center"/>
    </xf>
    <xf numFmtId="14" fontId="5" fillId="0" borderId="0" applyFill="0" applyBorder="0">
      <alignment horizontal="right" vertical="center"/>
    </xf>
  </cellStyleXfs>
  <cellXfs count="40">
    <xf numFmtId="0" fontId="0" fillId="0" borderId="0" xfId="0"/>
    <xf numFmtId="0" fontId="2" fillId="0" borderId="0" xfId="2"/>
    <xf numFmtId="0" fontId="3" fillId="0" borderId="0" xfId="3" applyBorder="1" applyAlignment="1">
      <alignment horizontal="left"/>
    </xf>
    <xf numFmtId="164" fontId="4" fillId="0" borderId="0" xfId="4">
      <alignment horizontal="center" vertical="center"/>
    </xf>
    <xf numFmtId="9" fontId="2" fillId="0" borderId="0" xfId="1" applyFont="1"/>
    <xf numFmtId="9" fontId="3" fillId="0" borderId="0" xfId="1" applyFont="1" applyBorder="1" applyAlignment="1">
      <alignment horizontal="left"/>
    </xf>
    <xf numFmtId="0" fontId="0" fillId="0" borderId="0" xfId="0" applyAlignment="1">
      <alignment wrapText="1"/>
    </xf>
    <xf numFmtId="0" fontId="0" fillId="0" borderId="2" xfId="0" applyBorder="1"/>
    <xf numFmtId="0" fontId="3" fillId="0" borderId="0" xfId="3" applyBorder="1" applyAlignment="1">
      <alignment horizontal="left" wrapText="1"/>
    </xf>
    <xf numFmtId="0" fontId="0" fillId="0" borderId="2" xfId="0" applyBorder="1" applyAlignment="1">
      <alignment wrapText="1"/>
    </xf>
    <xf numFmtId="9" fontId="5" fillId="0" borderId="2" xfId="1" applyFont="1" applyBorder="1" applyAlignment="1">
      <alignment horizontal="right"/>
    </xf>
    <xf numFmtId="164" fontId="4" fillId="0" borderId="2" xfId="4" applyBorder="1" applyAlignment="1">
      <alignment horizontal="center"/>
    </xf>
    <xf numFmtId="0" fontId="0" fillId="0" borderId="2" xfId="0" applyBorder="1" applyAlignment="1">
      <alignment vertical="center" wrapText="1"/>
    </xf>
    <xf numFmtId="9" fontId="5" fillId="0" borderId="2" xfId="1" applyFont="1" applyBorder="1" applyAlignment="1">
      <alignment horizontal="right" vertical="center"/>
    </xf>
    <xf numFmtId="0" fontId="0" fillId="0" borderId="2" xfId="0" applyBorder="1" applyAlignment="1">
      <alignment horizontal="left" wrapText="1"/>
    </xf>
    <xf numFmtId="0" fontId="0" fillId="0" borderId="0" xfId="0" applyAlignment="1">
      <alignment horizontal="left" vertical="center"/>
    </xf>
    <xf numFmtId="0" fontId="6" fillId="0" borderId="0" xfId="2" applyFont="1" applyAlignment="1"/>
    <xf numFmtId="14" fontId="2" fillId="0" borderId="0" xfId="2" applyNumberFormat="1"/>
    <xf numFmtId="14" fontId="3" fillId="0" borderId="0" xfId="3" applyNumberFormat="1" applyBorder="1" applyAlignment="1">
      <alignment horizontal="left"/>
    </xf>
    <xf numFmtId="14" fontId="0" fillId="0" borderId="2" xfId="0" applyNumberFormat="1" applyBorder="1" applyAlignment="1">
      <alignment wrapText="1"/>
    </xf>
    <xf numFmtId="14" fontId="0" fillId="0" borderId="0" xfId="0" applyNumberFormat="1"/>
    <xf numFmtId="9" fontId="0" fillId="0" borderId="0" xfId="0" applyNumberFormat="1"/>
    <xf numFmtId="9" fontId="5" fillId="0" borderId="0" xfId="1" applyFont="1" applyFill="1" applyBorder="1" applyAlignment="1">
      <alignment horizontal="right" vertical="center"/>
    </xf>
    <xf numFmtId="164" fontId="4" fillId="0" borderId="0" xfId="4" applyAlignment="1">
      <alignment horizontal="center"/>
    </xf>
    <xf numFmtId="0" fontId="8" fillId="2" borderId="3" xfId="0" applyFont="1" applyFill="1" applyBorder="1" applyAlignment="1">
      <alignment vertical="center"/>
    </xf>
    <xf numFmtId="0" fontId="8" fillId="2" borderId="4" xfId="0" applyFont="1" applyFill="1" applyBorder="1" applyAlignment="1">
      <alignment vertical="center"/>
    </xf>
    <xf numFmtId="0" fontId="8" fillId="2" borderId="4" xfId="0" applyFont="1" applyFill="1" applyBorder="1" applyAlignment="1">
      <alignment vertical="center" wrapText="1"/>
    </xf>
    <xf numFmtId="0" fontId="8" fillId="0" borderId="5" xfId="0" applyFont="1" applyBorder="1" applyAlignment="1">
      <alignment vertical="center"/>
    </xf>
    <xf numFmtId="0" fontId="8" fillId="0" borderId="6" xfId="0" applyFont="1" applyBorder="1" applyAlignment="1">
      <alignment vertical="center"/>
    </xf>
    <xf numFmtId="0" fontId="9" fillId="0" borderId="6" xfId="0" applyFont="1" applyBorder="1" applyAlignment="1">
      <alignment vertical="center" wrapText="1"/>
    </xf>
    <xf numFmtId="0" fontId="9" fillId="0" borderId="5" xfId="0" applyFont="1" applyBorder="1" applyAlignment="1">
      <alignment vertical="center"/>
    </xf>
    <xf numFmtId="0" fontId="9" fillId="0" borderId="6" xfId="0" applyFont="1" applyBorder="1" applyAlignment="1">
      <alignment vertical="center"/>
    </xf>
    <xf numFmtId="0" fontId="9" fillId="0" borderId="8" xfId="0" applyFont="1" applyBorder="1" applyAlignment="1">
      <alignment vertical="center" wrapText="1"/>
    </xf>
    <xf numFmtId="0" fontId="9" fillId="0" borderId="9" xfId="0" applyFont="1" applyBorder="1" applyAlignment="1">
      <alignment vertical="center"/>
    </xf>
    <xf numFmtId="0" fontId="9" fillId="0" borderId="5" xfId="0" applyFont="1" applyBorder="1" applyAlignment="1">
      <alignment vertical="center"/>
    </xf>
    <xf numFmtId="0" fontId="9" fillId="0" borderId="7" xfId="0" applyFont="1" applyBorder="1" applyAlignment="1">
      <alignment vertical="center"/>
    </xf>
    <xf numFmtId="0" fontId="0" fillId="0" borderId="0" xfId="0"/>
    <xf numFmtId="0" fontId="0" fillId="0" borderId="2" xfId="0" applyBorder="1" applyAlignment="1">
      <alignment wrapText="1"/>
    </xf>
    <xf numFmtId="9" fontId="0" fillId="0" borderId="0" xfId="0" applyNumberFormat="1"/>
    <xf numFmtId="14" fontId="7" fillId="0" borderId="0" xfId="0" applyNumberFormat="1" applyFont="1"/>
  </cellXfs>
  <cellStyles count="6">
    <cellStyle name="Date" xfId="5" xr:uid="{2ABB41C5-3CC8-4E1C-85D9-965CF83E22BD}"/>
    <cellStyle name="Done" xfId="4" xr:uid="{155A3BE5-8E81-4DF4-8692-E9EB5B66282A}"/>
    <cellStyle name="Heading 1" xfId="3" builtinId="16"/>
    <cellStyle name="Normal" xfId="0" builtinId="0"/>
    <cellStyle name="Percent" xfId="1" builtinId="5"/>
    <cellStyle name="Title" xfId="2" builtinId="15"/>
  </cellStyles>
  <dxfs count="1">
    <dxf>
      <border>
        <bottom style="thin">
          <color theme="0" tint="-0.14993743705557422"/>
        </bottom>
        <horizontal style="thin">
          <color theme="0" tint="-0.14996795556505021"/>
        </horizontal>
      </border>
    </dxf>
  </dxfs>
  <tableStyles count="1" defaultTableStyle="TableStyleMedium2" defaultPivotStyle="PivotStyleLight16">
    <tableStyle name="To-Do List" pivot="0" count="1" xr9:uid="{6FE4F3FF-4B3B-4CF6-BDDD-E9A3583A373E}">
      <tableStyleElement type="wholeTabl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F216F-6A2C-43F0-976D-4459909E096A}">
  <dimension ref="B1:AS54"/>
  <sheetViews>
    <sheetView workbookViewId="0">
      <pane ySplit="3" topLeftCell="A18" activePane="bottomLeft" state="frozen"/>
      <selection pane="bottomLeft" activeCell="B40" sqref="B40:C40"/>
    </sheetView>
    <sheetView tabSelected="1" topLeftCell="B1" workbookViewId="1">
      <selection activeCell="C48" sqref="C48"/>
    </sheetView>
  </sheetViews>
  <sheetFormatPr defaultRowHeight="15" x14ac:dyDescent="0.25"/>
  <cols>
    <col min="1" max="1" width="5.85546875" customWidth="1"/>
    <col min="2" max="2" width="27.140625" customWidth="1"/>
    <col min="3" max="3" width="66" customWidth="1"/>
    <col min="4" max="4" width="38.42578125" customWidth="1"/>
    <col min="5" max="5" width="14.5703125" style="20" customWidth="1"/>
    <col min="6" max="6" width="14.42578125" customWidth="1"/>
    <col min="7" max="7" width="19.7109375" customWidth="1"/>
    <col min="8" max="8" width="7" customWidth="1"/>
    <col min="9" max="9" width="25.28515625" customWidth="1"/>
    <col min="10" max="10" width="16.85546875" style="21" customWidth="1"/>
    <col min="11" max="11" width="15.140625" style="21" customWidth="1"/>
    <col min="12" max="22" width="9.140625" style="21"/>
  </cols>
  <sheetData>
    <row r="1" spans="2:45" ht="35.25" x14ac:dyDescent="0.5">
      <c r="B1" s="16" t="s">
        <v>0</v>
      </c>
      <c r="C1" s="6"/>
      <c r="D1" s="1"/>
      <c r="E1" s="17"/>
      <c r="F1" s="1"/>
      <c r="G1" s="4"/>
      <c r="H1" s="1"/>
      <c r="I1" s="6"/>
      <c r="J1" s="36"/>
    </row>
    <row r="2" spans="2:45" ht="9" customHeight="1" x14ac:dyDescent="0.4">
      <c r="C2" s="6"/>
      <c r="D2" s="1"/>
      <c r="E2" s="17"/>
      <c r="F2" s="1"/>
      <c r="G2" s="4"/>
      <c r="H2" s="1"/>
      <c r="I2" s="6"/>
      <c r="J2" s="36"/>
    </row>
    <row r="3" spans="2:45" ht="19.5" x14ac:dyDescent="0.3">
      <c r="B3" s="2" t="s">
        <v>3</v>
      </c>
      <c r="C3" s="8" t="s">
        <v>2</v>
      </c>
      <c r="D3" s="2" t="s">
        <v>4</v>
      </c>
      <c r="E3" s="18" t="s">
        <v>5</v>
      </c>
      <c r="F3" s="2" t="s">
        <v>7</v>
      </c>
      <c r="G3" s="5" t="s">
        <v>8</v>
      </c>
      <c r="H3" s="3" t="s">
        <v>1</v>
      </c>
      <c r="I3" s="5" t="s">
        <v>6</v>
      </c>
      <c r="J3" s="39" t="s">
        <v>10</v>
      </c>
      <c r="K3" s="39" t="s">
        <v>120</v>
      </c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20"/>
    </row>
    <row r="4" spans="2:45" x14ac:dyDescent="0.25">
      <c r="B4" s="9" t="s">
        <v>11</v>
      </c>
      <c r="C4" s="9" t="s">
        <v>12</v>
      </c>
      <c r="D4" s="9"/>
      <c r="E4" s="19">
        <v>46133</v>
      </c>
      <c r="F4" s="9" t="str">
        <f>IF(G4=1,"Complete",IF(G4&lt;&gt;0,"In Progess","Not Started"))</f>
        <v>Complete</v>
      </c>
      <c r="G4" s="10">
        <v>1</v>
      </c>
      <c r="H4" s="11">
        <f>--(G4&gt;=1)</f>
        <v>1</v>
      </c>
      <c r="I4" s="9"/>
      <c r="J4" s="38">
        <v>1</v>
      </c>
      <c r="K4" s="21">
        <v>1</v>
      </c>
    </row>
    <row r="5" spans="2:45" x14ac:dyDescent="0.25">
      <c r="B5" s="9" t="s">
        <v>11</v>
      </c>
      <c r="C5" s="9" t="s">
        <v>13</v>
      </c>
      <c r="D5" s="9"/>
      <c r="E5" s="19">
        <v>46133</v>
      </c>
      <c r="F5" s="9" t="s">
        <v>9</v>
      </c>
      <c r="G5" s="10">
        <v>1</v>
      </c>
      <c r="H5" s="11">
        <f t="shared" ref="H5:H48" si="0">--(G5&gt;=1)</f>
        <v>1</v>
      </c>
      <c r="I5" s="9"/>
      <c r="J5" s="38">
        <v>1</v>
      </c>
      <c r="K5" s="21">
        <v>1</v>
      </c>
    </row>
    <row r="6" spans="2:45" x14ac:dyDescent="0.25">
      <c r="B6" s="9" t="s">
        <v>11</v>
      </c>
      <c r="C6" s="14" t="s">
        <v>14</v>
      </c>
      <c r="D6" s="9"/>
      <c r="E6" s="19">
        <v>46133</v>
      </c>
      <c r="F6" s="9" t="str">
        <f t="shared" ref="F6:F26" si="1">IF(G6=1,"Complete",IF(G6&lt;&gt;0,"In Progess","Not Started"))</f>
        <v>Complete</v>
      </c>
      <c r="G6" s="10">
        <v>1</v>
      </c>
      <c r="H6" s="11">
        <f t="shared" si="0"/>
        <v>1</v>
      </c>
      <c r="I6" s="9"/>
      <c r="J6" s="38">
        <v>1</v>
      </c>
      <c r="K6" s="21">
        <v>1</v>
      </c>
    </row>
    <row r="7" spans="2:45" x14ac:dyDescent="0.25">
      <c r="B7" s="9" t="s">
        <v>11</v>
      </c>
      <c r="C7" s="15" t="s">
        <v>15</v>
      </c>
      <c r="D7" s="9"/>
      <c r="E7" s="19">
        <v>46133</v>
      </c>
      <c r="F7" s="9" t="str">
        <f t="shared" si="1"/>
        <v>Complete</v>
      </c>
      <c r="G7" s="10">
        <v>1</v>
      </c>
      <c r="H7" s="11">
        <f t="shared" si="0"/>
        <v>1</v>
      </c>
      <c r="I7" s="9"/>
      <c r="J7" s="38">
        <v>1</v>
      </c>
      <c r="K7" s="21">
        <v>1</v>
      </c>
    </row>
    <row r="8" spans="2:45" x14ac:dyDescent="0.25">
      <c r="B8" s="9" t="s">
        <v>11</v>
      </c>
      <c r="C8" s="15" t="s">
        <v>16</v>
      </c>
      <c r="D8" s="9"/>
      <c r="E8" s="19">
        <v>46133</v>
      </c>
      <c r="F8" s="9" t="str">
        <f t="shared" si="1"/>
        <v>Complete</v>
      </c>
      <c r="G8" s="10">
        <v>1</v>
      </c>
      <c r="H8" s="11">
        <f t="shared" si="0"/>
        <v>1</v>
      </c>
      <c r="I8" s="9"/>
      <c r="J8" s="38">
        <v>1</v>
      </c>
      <c r="K8" s="21">
        <v>1</v>
      </c>
    </row>
    <row r="9" spans="2:45" x14ac:dyDescent="0.25">
      <c r="B9" s="9" t="s">
        <v>11</v>
      </c>
      <c r="C9" s="9" t="s">
        <v>17</v>
      </c>
      <c r="D9" s="9"/>
      <c r="E9" s="19">
        <v>46133</v>
      </c>
      <c r="F9" s="9" t="s">
        <v>9</v>
      </c>
      <c r="G9" s="10">
        <v>1</v>
      </c>
      <c r="H9" s="11">
        <f t="shared" si="0"/>
        <v>1</v>
      </c>
      <c r="I9" s="9"/>
      <c r="J9" s="38">
        <v>1</v>
      </c>
      <c r="K9" s="21">
        <v>1</v>
      </c>
    </row>
    <row r="10" spans="2:45" x14ac:dyDescent="0.25">
      <c r="B10" s="9" t="s">
        <v>11</v>
      </c>
      <c r="C10" s="9" t="s">
        <v>18</v>
      </c>
      <c r="D10" s="9"/>
      <c r="E10" s="19">
        <v>46133</v>
      </c>
      <c r="F10" s="9" t="str">
        <f t="shared" si="1"/>
        <v>Complete</v>
      </c>
      <c r="G10" s="10">
        <v>1</v>
      </c>
      <c r="H10" s="11">
        <f t="shared" si="0"/>
        <v>1</v>
      </c>
      <c r="I10" s="9"/>
      <c r="J10" s="38">
        <v>1</v>
      </c>
      <c r="K10" s="21">
        <v>1</v>
      </c>
    </row>
    <row r="11" spans="2:45" x14ac:dyDescent="0.25">
      <c r="B11" s="9" t="s">
        <v>11</v>
      </c>
      <c r="C11" s="15" t="s">
        <v>19</v>
      </c>
      <c r="D11" s="9"/>
      <c r="E11" s="19">
        <v>46133</v>
      </c>
      <c r="F11" s="9" t="str">
        <f t="shared" si="1"/>
        <v>Complete</v>
      </c>
      <c r="G11" s="10">
        <v>1</v>
      </c>
      <c r="H11" s="11">
        <f t="shared" si="0"/>
        <v>1</v>
      </c>
      <c r="I11" s="9"/>
      <c r="J11" s="38">
        <v>1</v>
      </c>
      <c r="K11" s="21">
        <v>1</v>
      </c>
    </row>
    <row r="12" spans="2:45" x14ac:dyDescent="0.25">
      <c r="B12" s="9" t="s">
        <v>11</v>
      </c>
      <c r="C12" s="15" t="s">
        <v>20</v>
      </c>
      <c r="D12" s="9"/>
      <c r="E12" s="19">
        <v>46133</v>
      </c>
      <c r="F12" s="9" t="str">
        <f t="shared" si="1"/>
        <v>Complete</v>
      </c>
      <c r="G12" s="10">
        <v>1</v>
      </c>
      <c r="H12" s="11">
        <f t="shared" si="0"/>
        <v>1</v>
      </c>
      <c r="I12" s="9"/>
      <c r="J12" s="38">
        <v>1</v>
      </c>
      <c r="K12" s="21">
        <v>1</v>
      </c>
    </row>
    <row r="13" spans="2:45" x14ac:dyDescent="0.25">
      <c r="B13" s="9" t="s">
        <v>11</v>
      </c>
      <c r="C13" s="9" t="s">
        <v>21</v>
      </c>
      <c r="D13" s="9"/>
      <c r="E13" s="19">
        <v>46133</v>
      </c>
      <c r="F13" s="9" t="s">
        <v>9</v>
      </c>
      <c r="G13" s="10">
        <v>1</v>
      </c>
      <c r="H13" s="11">
        <f t="shared" si="0"/>
        <v>1</v>
      </c>
      <c r="I13" s="9"/>
      <c r="J13" s="38">
        <v>1</v>
      </c>
      <c r="K13" s="21">
        <v>1</v>
      </c>
    </row>
    <row r="14" spans="2:45" x14ac:dyDescent="0.25">
      <c r="B14" s="9" t="s">
        <v>11</v>
      </c>
      <c r="C14" s="9" t="s">
        <v>22</v>
      </c>
      <c r="D14" s="9"/>
      <c r="E14" s="19">
        <v>46133</v>
      </c>
      <c r="F14" s="9" t="str">
        <f t="shared" si="1"/>
        <v>Complete</v>
      </c>
      <c r="G14" s="10">
        <v>1</v>
      </c>
      <c r="H14" s="11">
        <f t="shared" si="0"/>
        <v>1</v>
      </c>
      <c r="I14" s="9"/>
      <c r="J14" s="38">
        <v>1</v>
      </c>
      <c r="K14" s="21">
        <v>1</v>
      </c>
    </row>
    <row r="15" spans="2:45" x14ac:dyDescent="0.25">
      <c r="B15" s="9" t="s">
        <v>11</v>
      </c>
      <c r="C15" s="9" t="s">
        <v>23</v>
      </c>
      <c r="D15" s="9"/>
      <c r="E15" s="19">
        <v>46133</v>
      </c>
      <c r="F15" s="9" t="str">
        <f t="shared" si="1"/>
        <v>Complete</v>
      </c>
      <c r="G15" s="10">
        <v>1</v>
      </c>
      <c r="H15" s="11">
        <f t="shared" si="0"/>
        <v>1</v>
      </c>
      <c r="I15" s="9"/>
      <c r="J15" s="38">
        <v>1</v>
      </c>
      <c r="K15" s="21">
        <v>1</v>
      </c>
    </row>
    <row r="16" spans="2:45" x14ac:dyDescent="0.25">
      <c r="B16" s="9" t="s">
        <v>11</v>
      </c>
      <c r="C16" s="9" t="s">
        <v>24</v>
      </c>
      <c r="D16" s="9"/>
      <c r="E16" s="19">
        <v>46133</v>
      </c>
      <c r="F16" s="9" t="s">
        <v>87</v>
      </c>
      <c r="G16" s="10"/>
      <c r="H16" s="11">
        <f t="shared" si="0"/>
        <v>0</v>
      </c>
      <c r="I16" s="6"/>
      <c r="J16" s="36"/>
    </row>
    <row r="17" spans="2:11" ht="17.25" customHeight="1" x14ac:dyDescent="0.25">
      <c r="B17" s="9" t="s">
        <v>11</v>
      </c>
      <c r="C17" s="9" t="s">
        <v>25</v>
      </c>
      <c r="D17" s="9"/>
      <c r="E17" s="19">
        <v>46133</v>
      </c>
      <c r="F17" s="9" t="s">
        <v>87</v>
      </c>
      <c r="G17" s="10"/>
      <c r="H17" s="11">
        <f t="shared" si="0"/>
        <v>0</v>
      </c>
      <c r="I17" s="6"/>
      <c r="J17" s="36"/>
    </row>
    <row r="18" spans="2:11" x14ac:dyDescent="0.25">
      <c r="B18" s="9" t="s">
        <v>11</v>
      </c>
      <c r="C18" s="9" t="s">
        <v>26</v>
      </c>
      <c r="D18" s="9"/>
      <c r="E18" s="19">
        <v>46133</v>
      </c>
      <c r="F18" s="9" t="s">
        <v>87</v>
      </c>
      <c r="G18" s="10"/>
      <c r="H18" s="11">
        <f t="shared" si="0"/>
        <v>0</v>
      </c>
      <c r="J18" s="36"/>
    </row>
    <row r="19" spans="2:11" x14ac:dyDescent="0.25">
      <c r="B19" s="9" t="s">
        <v>11</v>
      </c>
      <c r="C19" s="9" t="s">
        <v>27</v>
      </c>
      <c r="D19" s="9" t="s">
        <v>115</v>
      </c>
      <c r="E19" s="19">
        <v>46133</v>
      </c>
      <c r="F19" s="9" t="s">
        <v>9</v>
      </c>
      <c r="G19" s="10">
        <v>1</v>
      </c>
      <c r="H19" s="11">
        <f t="shared" si="0"/>
        <v>1</v>
      </c>
      <c r="I19" s="6"/>
      <c r="J19" s="38">
        <v>1</v>
      </c>
      <c r="K19" s="21">
        <v>1</v>
      </c>
    </row>
    <row r="20" spans="2:11" x14ac:dyDescent="0.25">
      <c r="B20" s="9" t="s">
        <v>11</v>
      </c>
      <c r="C20" s="9" t="s">
        <v>88</v>
      </c>
      <c r="D20" s="9" t="s">
        <v>115</v>
      </c>
      <c r="E20" s="19">
        <v>46133</v>
      </c>
      <c r="F20" s="9" t="s">
        <v>9</v>
      </c>
      <c r="G20" s="10">
        <v>1</v>
      </c>
      <c r="H20" s="11">
        <f t="shared" si="0"/>
        <v>1</v>
      </c>
      <c r="I20" s="6"/>
      <c r="J20" s="38">
        <v>1</v>
      </c>
      <c r="K20" s="21">
        <v>1</v>
      </c>
    </row>
    <row r="21" spans="2:11" x14ac:dyDescent="0.25">
      <c r="B21" s="9" t="s">
        <v>11</v>
      </c>
      <c r="C21" s="9" t="s">
        <v>28</v>
      </c>
      <c r="D21" s="9"/>
      <c r="E21" s="19">
        <v>46133</v>
      </c>
      <c r="F21" s="9" t="str">
        <f t="shared" si="1"/>
        <v>Complete</v>
      </c>
      <c r="G21" s="10">
        <v>1</v>
      </c>
      <c r="H21" s="11">
        <f t="shared" si="0"/>
        <v>1</v>
      </c>
      <c r="I21" s="6"/>
      <c r="J21" s="38">
        <v>1</v>
      </c>
      <c r="K21" s="21">
        <v>1</v>
      </c>
    </row>
    <row r="22" spans="2:11" ht="17.25" customHeight="1" x14ac:dyDescent="0.25">
      <c r="B22" s="9" t="s">
        <v>11</v>
      </c>
      <c r="C22" s="9" t="s">
        <v>29</v>
      </c>
      <c r="D22" s="9"/>
      <c r="E22" s="19">
        <v>46133</v>
      </c>
      <c r="F22" s="9" t="str">
        <f t="shared" si="1"/>
        <v>Complete</v>
      </c>
      <c r="G22" s="10">
        <v>1</v>
      </c>
      <c r="H22" s="11">
        <f t="shared" si="0"/>
        <v>1</v>
      </c>
      <c r="J22" s="38">
        <v>1</v>
      </c>
      <c r="K22" s="21">
        <v>1</v>
      </c>
    </row>
    <row r="23" spans="2:11" x14ac:dyDescent="0.25">
      <c r="B23" s="9" t="s">
        <v>11</v>
      </c>
      <c r="C23" s="9" t="s">
        <v>30</v>
      </c>
      <c r="D23" s="9"/>
      <c r="E23" s="19">
        <v>46133</v>
      </c>
      <c r="F23" s="9" t="str">
        <f t="shared" si="1"/>
        <v>Complete</v>
      </c>
      <c r="G23" s="10">
        <v>1</v>
      </c>
      <c r="H23" s="11">
        <f t="shared" si="0"/>
        <v>1</v>
      </c>
      <c r="J23" s="38">
        <v>1</v>
      </c>
      <c r="K23" s="21">
        <v>1</v>
      </c>
    </row>
    <row r="24" spans="2:11" x14ac:dyDescent="0.25">
      <c r="B24" s="9" t="s">
        <v>86</v>
      </c>
      <c r="C24" s="9" t="s">
        <v>31</v>
      </c>
      <c r="D24" s="9"/>
      <c r="E24" s="19">
        <v>46133</v>
      </c>
      <c r="F24" s="9" t="str">
        <f t="shared" si="1"/>
        <v>Complete</v>
      </c>
      <c r="G24" s="10">
        <v>1</v>
      </c>
      <c r="H24" s="11">
        <f t="shared" si="0"/>
        <v>1</v>
      </c>
      <c r="J24" s="38">
        <v>1</v>
      </c>
      <c r="K24" s="21">
        <v>1</v>
      </c>
    </row>
    <row r="25" spans="2:11" x14ac:dyDescent="0.25">
      <c r="B25" s="9" t="s">
        <v>86</v>
      </c>
      <c r="C25" s="9" t="s">
        <v>32</v>
      </c>
      <c r="D25" s="9"/>
      <c r="E25" s="19">
        <v>46133</v>
      </c>
      <c r="F25" s="9" t="str">
        <f t="shared" si="1"/>
        <v>Complete</v>
      </c>
      <c r="G25" s="10">
        <v>1</v>
      </c>
      <c r="H25" s="11">
        <f t="shared" si="0"/>
        <v>1</v>
      </c>
      <c r="I25" s="6"/>
      <c r="J25" s="38">
        <v>1</v>
      </c>
      <c r="K25" s="21">
        <v>1</v>
      </c>
    </row>
    <row r="26" spans="2:11" x14ac:dyDescent="0.25">
      <c r="B26" s="9" t="s">
        <v>47</v>
      </c>
      <c r="C26" s="9" t="s">
        <v>33</v>
      </c>
      <c r="D26" s="9"/>
      <c r="E26" s="19">
        <v>46161</v>
      </c>
      <c r="F26" s="9" t="str">
        <f t="shared" si="1"/>
        <v>Complete</v>
      </c>
      <c r="G26" s="10">
        <v>1</v>
      </c>
      <c r="H26" s="11">
        <f t="shared" si="0"/>
        <v>1</v>
      </c>
      <c r="I26" s="9"/>
      <c r="J26" s="38">
        <v>1</v>
      </c>
      <c r="K26" s="21">
        <v>1</v>
      </c>
    </row>
    <row r="27" spans="2:11" x14ac:dyDescent="0.25">
      <c r="B27" s="9" t="s">
        <v>47</v>
      </c>
      <c r="C27" s="9" t="s">
        <v>34</v>
      </c>
      <c r="D27" s="12"/>
      <c r="E27" s="19">
        <v>46161</v>
      </c>
      <c r="F27" s="9" t="s">
        <v>89</v>
      </c>
      <c r="G27" s="10">
        <v>1</v>
      </c>
      <c r="H27" s="11">
        <f t="shared" si="0"/>
        <v>1</v>
      </c>
      <c r="I27" s="9"/>
      <c r="J27" s="38">
        <v>0.15</v>
      </c>
      <c r="K27" s="21">
        <v>1</v>
      </c>
    </row>
    <row r="28" spans="2:11" x14ac:dyDescent="0.25">
      <c r="B28" s="9" t="s">
        <v>47</v>
      </c>
      <c r="C28" s="9" t="s">
        <v>35</v>
      </c>
      <c r="D28" s="9"/>
      <c r="E28" s="19">
        <v>46161</v>
      </c>
      <c r="F28" s="9" t="s">
        <v>89</v>
      </c>
      <c r="G28" s="10">
        <v>1</v>
      </c>
      <c r="H28" s="11">
        <f t="shared" si="0"/>
        <v>1</v>
      </c>
      <c r="I28" s="9"/>
      <c r="J28" s="38">
        <v>0.15</v>
      </c>
      <c r="K28" s="21">
        <v>1</v>
      </c>
    </row>
    <row r="29" spans="2:11" x14ac:dyDescent="0.25">
      <c r="B29" s="9" t="s">
        <v>86</v>
      </c>
      <c r="C29" s="9" t="s">
        <v>36</v>
      </c>
      <c r="D29" s="12" t="s">
        <v>112</v>
      </c>
      <c r="E29" s="19">
        <v>46161</v>
      </c>
      <c r="F29" s="9" t="s">
        <v>90</v>
      </c>
      <c r="G29" s="10">
        <v>1</v>
      </c>
      <c r="H29" s="11">
        <f t="shared" si="0"/>
        <v>1</v>
      </c>
      <c r="I29" s="9"/>
      <c r="J29" s="38">
        <v>0</v>
      </c>
      <c r="K29" s="21">
        <v>1</v>
      </c>
    </row>
    <row r="30" spans="2:11" ht="30" x14ac:dyDescent="0.25">
      <c r="B30" s="9" t="s">
        <v>86</v>
      </c>
      <c r="C30" s="9" t="s">
        <v>37</v>
      </c>
      <c r="D30" s="12" t="s">
        <v>112</v>
      </c>
      <c r="E30" s="19">
        <v>46161</v>
      </c>
      <c r="F30" s="9" t="s">
        <v>90</v>
      </c>
      <c r="G30" s="10">
        <v>0.6</v>
      </c>
      <c r="H30" s="11">
        <f t="shared" si="0"/>
        <v>0</v>
      </c>
      <c r="I30" s="37" t="s">
        <v>118</v>
      </c>
      <c r="J30" s="38">
        <v>0</v>
      </c>
      <c r="K30" s="21">
        <v>0.6</v>
      </c>
    </row>
    <row r="31" spans="2:11" ht="30" x14ac:dyDescent="0.25">
      <c r="B31" s="9" t="s">
        <v>86</v>
      </c>
      <c r="C31" s="9" t="s">
        <v>38</v>
      </c>
      <c r="D31" s="12" t="s">
        <v>112</v>
      </c>
      <c r="E31" s="19">
        <v>46161</v>
      </c>
      <c r="F31" s="9" t="s">
        <v>90</v>
      </c>
      <c r="G31" s="10">
        <v>0.6</v>
      </c>
      <c r="H31" s="11">
        <f t="shared" si="0"/>
        <v>0</v>
      </c>
      <c r="I31" s="37" t="s">
        <v>118</v>
      </c>
      <c r="J31" s="38">
        <v>0</v>
      </c>
      <c r="K31" s="21">
        <v>0.6</v>
      </c>
    </row>
    <row r="32" spans="2:11" x14ac:dyDescent="0.25">
      <c r="B32" s="9" t="s">
        <v>86</v>
      </c>
      <c r="C32" s="9" t="s">
        <v>39</v>
      </c>
      <c r="D32" s="12" t="s">
        <v>112</v>
      </c>
      <c r="E32" s="19">
        <v>46161</v>
      </c>
      <c r="F32" s="9" t="s">
        <v>90</v>
      </c>
      <c r="G32" s="10">
        <v>1</v>
      </c>
      <c r="H32" s="11">
        <f t="shared" si="0"/>
        <v>1</v>
      </c>
      <c r="I32" s="9"/>
      <c r="J32" s="38">
        <v>0</v>
      </c>
      <c r="K32" s="21">
        <v>1</v>
      </c>
    </row>
    <row r="33" spans="2:11" x14ac:dyDescent="0.25">
      <c r="B33" s="9" t="s">
        <v>86</v>
      </c>
      <c r="C33" s="9" t="s">
        <v>40</v>
      </c>
      <c r="D33" s="12" t="s">
        <v>112</v>
      </c>
      <c r="E33" s="19">
        <v>46161</v>
      </c>
      <c r="F33" s="9" t="s">
        <v>90</v>
      </c>
      <c r="G33" s="10">
        <v>1</v>
      </c>
      <c r="H33" s="11">
        <f t="shared" si="0"/>
        <v>1</v>
      </c>
      <c r="I33" s="9" t="s">
        <v>116</v>
      </c>
      <c r="J33" s="38">
        <v>0</v>
      </c>
      <c r="K33" s="21">
        <v>1</v>
      </c>
    </row>
    <row r="34" spans="2:11" ht="30" x14ac:dyDescent="0.25">
      <c r="B34" s="9" t="s">
        <v>86</v>
      </c>
      <c r="C34" s="9" t="s">
        <v>41</v>
      </c>
      <c r="D34" s="12" t="s">
        <v>112</v>
      </c>
      <c r="E34" s="19">
        <v>46161</v>
      </c>
      <c r="F34" s="9" t="s">
        <v>90</v>
      </c>
      <c r="G34" s="10">
        <v>0.6</v>
      </c>
      <c r="H34" s="11">
        <f t="shared" si="0"/>
        <v>0</v>
      </c>
      <c r="I34" s="37" t="s">
        <v>118</v>
      </c>
      <c r="J34" s="38">
        <v>0</v>
      </c>
      <c r="K34" s="21">
        <v>0.6</v>
      </c>
    </row>
    <row r="35" spans="2:11" ht="30" x14ac:dyDescent="0.25">
      <c r="B35" s="9" t="s">
        <v>86</v>
      </c>
      <c r="C35" s="9" t="s">
        <v>42</v>
      </c>
      <c r="D35" s="12" t="s">
        <v>112</v>
      </c>
      <c r="E35" s="19">
        <v>46161</v>
      </c>
      <c r="F35" s="9" t="s">
        <v>90</v>
      </c>
      <c r="G35" s="10">
        <v>0.6</v>
      </c>
      <c r="H35" s="11">
        <f t="shared" si="0"/>
        <v>0</v>
      </c>
      <c r="I35" s="37" t="s">
        <v>118</v>
      </c>
      <c r="J35" s="38">
        <v>0</v>
      </c>
      <c r="K35" s="21">
        <v>0.6</v>
      </c>
    </row>
    <row r="36" spans="2:11" ht="30" x14ac:dyDescent="0.25">
      <c r="B36" s="9" t="s">
        <v>86</v>
      </c>
      <c r="C36" s="9" t="s">
        <v>43</v>
      </c>
      <c r="D36" s="12" t="s">
        <v>112</v>
      </c>
      <c r="E36" s="19">
        <v>46161</v>
      </c>
      <c r="F36" s="9" t="s">
        <v>90</v>
      </c>
      <c r="G36" s="10">
        <v>0</v>
      </c>
      <c r="H36" s="11">
        <f t="shared" si="0"/>
        <v>0</v>
      </c>
      <c r="I36" s="9" t="s">
        <v>117</v>
      </c>
      <c r="J36" s="38">
        <v>0</v>
      </c>
      <c r="K36" s="21">
        <v>0</v>
      </c>
    </row>
    <row r="37" spans="2:11" x14ac:dyDescent="0.25">
      <c r="B37" s="9" t="s">
        <v>86</v>
      </c>
      <c r="C37" s="9" t="s">
        <v>44</v>
      </c>
      <c r="D37" s="12" t="s">
        <v>112</v>
      </c>
      <c r="E37" s="19">
        <v>46161</v>
      </c>
      <c r="F37" s="9" t="s">
        <v>90</v>
      </c>
      <c r="G37" s="10">
        <v>1</v>
      </c>
      <c r="H37" s="11">
        <f t="shared" si="0"/>
        <v>1</v>
      </c>
      <c r="I37" s="9"/>
      <c r="J37" s="38">
        <v>0</v>
      </c>
      <c r="K37" s="21">
        <v>1</v>
      </c>
    </row>
    <row r="38" spans="2:11" ht="30" x14ac:dyDescent="0.25">
      <c r="B38" s="9" t="s">
        <v>86</v>
      </c>
      <c r="C38" s="9" t="s">
        <v>45</v>
      </c>
      <c r="D38" s="12" t="s">
        <v>112</v>
      </c>
      <c r="E38" s="19">
        <v>46161</v>
      </c>
      <c r="F38" s="9" t="s">
        <v>90</v>
      </c>
      <c r="G38" s="10">
        <v>0.6</v>
      </c>
      <c r="H38" s="11">
        <f t="shared" si="0"/>
        <v>0</v>
      </c>
      <c r="I38" s="9" t="s">
        <v>118</v>
      </c>
      <c r="J38" s="38">
        <v>0</v>
      </c>
      <c r="K38" s="21">
        <v>0.6</v>
      </c>
    </row>
    <row r="39" spans="2:11" x14ac:dyDescent="0.25">
      <c r="B39" s="9" t="s">
        <v>86</v>
      </c>
      <c r="C39" s="9" t="s">
        <v>46</v>
      </c>
      <c r="D39" s="12" t="s">
        <v>112</v>
      </c>
      <c r="E39" s="19">
        <v>46161</v>
      </c>
      <c r="F39" s="9" t="s">
        <v>90</v>
      </c>
      <c r="G39" s="10">
        <v>1</v>
      </c>
      <c r="H39" s="11">
        <f t="shared" si="0"/>
        <v>1</v>
      </c>
      <c r="I39" s="9"/>
      <c r="J39" s="38">
        <v>0</v>
      </c>
      <c r="K39" s="21">
        <v>1</v>
      </c>
    </row>
    <row r="40" spans="2:11" x14ac:dyDescent="0.25">
      <c r="B40" s="9" t="s">
        <v>91</v>
      </c>
      <c r="C40" s="9" t="s">
        <v>92</v>
      </c>
      <c r="D40" s="9"/>
      <c r="E40" s="19">
        <v>46133</v>
      </c>
      <c r="F40" s="9" t="s">
        <v>90</v>
      </c>
      <c r="G40" s="10">
        <v>1</v>
      </c>
      <c r="H40" s="11">
        <f t="shared" ref="H40" si="2">--(G40&gt;=1)</f>
        <v>1</v>
      </c>
      <c r="I40" s="9"/>
      <c r="J40" s="38">
        <v>1</v>
      </c>
      <c r="K40" s="21">
        <v>1</v>
      </c>
    </row>
    <row r="41" spans="2:11" x14ac:dyDescent="0.25">
      <c r="B41" s="9" t="s">
        <v>93</v>
      </c>
      <c r="C41" s="9" t="s">
        <v>94</v>
      </c>
      <c r="D41" s="12"/>
      <c r="E41" s="19">
        <v>46133</v>
      </c>
      <c r="F41" s="9" t="str">
        <f t="shared" ref="F41:F44" si="3">IF(G41=1,"Complete",IF(G41&lt;&gt;0,"In Progess","Not Started"))</f>
        <v>Complete</v>
      </c>
      <c r="G41" s="10">
        <v>1</v>
      </c>
      <c r="H41" s="11">
        <f t="shared" si="0"/>
        <v>1</v>
      </c>
      <c r="I41" s="9"/>
      <c r="J41" s="38">
        <v>1</v>
      </c>
      <c r="K41" s="21">
        <v>1</v>
      </c>
    </row>
    <row r="42" spans="2:11" x14ac:dyDescent="0.25">
      <c r="B42" s="9" t="s">
        <v>93</v>
      </c>
      <c r="C42" s="9" t="s">
        <v>95</v>
      </c>
      <c r="D42" s="7"/>
      <c r="E42" s="19">
        <v>46133</v>
      </c>
      <c r="F42" s="9" t="str">
        <f t="shared" si="3"/>
        <v>Complete</v>
      </c>
      <c r="G42" s="10">
        <v>1</v>
      </c>
      <c r="H42" s="11">
        <f t="shared" si="0"/>
        <v>1</v>
      </c>
      <c r="I42" s="9"/>
      <c r="J42" s="38">
        <v>1</v>
      </c>
      <c r="K42" s="21">
        <v>1</v>
      </c>
    </row>
    <row r="43" spans="2:11" x14ac:dyDescent="0.25">
      <c r="B43" s="9" t="s">
        <v>93</v>
      </c>
      <c r="C43" s="9" t="s">
        <v>96</v>
      </c>
      <c r="D43" s="7"/>
      <c r="E43" s="19">
        <v>46133</v>
      </c>
      <c r="F43" s="9" t="str">
        <f t="shared" si="3"/>
        <v>Complete</v>
      </c>
      <c r="G43" s="10">
        <v>1</v>
      </c>
      <c r="H43" s="11">
        <f t="shared" si="0"/>
        <v>1</v>
      </c>
      <c r="I43" s="9"/>
      <c r="J43" s="38">
        <v>1</v>
      </c>
      <c r="K43" s="21">
        <v>1</v>
      </c>
    </row>
    <row r="44" spans="2:11" x14ac:dyDescent="0.25">
      <c r="B44" s="9" t="s">
        <v>93</v>
      </c>
      <c r="C44" s="9" t="s">
        <v>97</v>
      </c>
      <c r="D44" s="12"/>
      <c r="E44" s="19">
        <v>46133</v>
      </c>
      <c r="F44" s="9" t="str">
        <f t="shared" si="3"/>
        <v>In Progess</v>
      </c>
      <c r="G44" s="13">
        <v>0.99</v>
      </c>
      <c r="H44" s="11">
        <f t="shared" si="0"/>
        <v>0</v>
      </c>
      <c r="I44" s="9"/>
      <c r="J44" s="38">
        <v>1</v>
      </c>
      <c r="K44" s="21">
        <v>0.99</v>
      </c>
    </row>
    <row r="45" spans="2:11" x14ac:dyDescent="0.25">
      <c r="B45" s="7" t="s">
        <v>98</v>
      </c>
      <c r="C45" s="9" t="s">
        <v>102</v>
      </c>
      <c r="D45" s="12"/>
      <c r="E45" s="19">
        <v>46161</v>
      </c>
      <c r="F45" s="9" t="s">
        <v>89</v>
      </c>
      <c r="G45" s="13">
        <v>1</v>
      </c>
      <c r="H45" s="11">
        <f t="shared" si="0"/>
        <v>1</v>
      </c>
      <c r="I45" s="9"/>
      <c r="J45" s="38">
        <v>1</v>
      </c>
      <c r="K45" s="21">
        <v>1</v>
      </c>
    </row>
    <row r="46" spans="2:11" x14ac:dyDescent="0.25">
      <c r="B46" s="9" t="s">
        <v>99</v>
      </c>
      <c r="C46" s="9" t="s">
        <v>103</v>
      </c>
      <c r="D46" s="12"/>
      <c r="E46" s="19">
        <v>46161</v>
      </c>
      <c r="F46" s="9" t="s">
        <v>90</v>
      </c>
      <c r="G46" s="13">
        <v>1</v>
      </c>
      <c r="H46" s="11">
        <f t="shared" si="0"/>
        <v>1</v>
      </c>
      <c r="I46" s="9"/>
      <c r="J46" s="38">
        <v>0.15</v>
      </c>
      <c r="K46" s="21">
        <v>1</v>
      </c>
    </row>
    <row r="47" spans="2:11" ht="30" x14ac:dyDescent="0.25">
      <c r="B47" s="9" t="s">
        <v>100</v>
      </c>
      <c r="C47" s="9" t="s">
        <v>101</v>
      </c>
      <c r="E47" s="19">
        <v>46161</v>
      </c>
      <c r="F47" s="9" t="s">
        <v>89</v>
      </c>
      <c r="G47" s="22">
        <v>0.95</v>
      </c>
      <c r="H47" s="23">
        <f t="shared" si="0"/>
        <v>0</v>
      </c>
      <c r="I47" t="s">
        <v>119</v>
      </c>
      <c r="J47" s="38">
        <v>0</v>
      </c>
      <c r="K47" s="21">
        <v>0.95</v>
      </c>
    </row>
    <row r="48" spans="2:11" x14ac:dyDescent="0.25">
      <c r="B48" s="9" t="s">
        <v>104</v>
      </c>
      <c r="C48" s="9" t="s">
        <v>106</v>
      </c>
      <c r="E48" s="19">
        <v>46198</v>
      </c>
      <c r="F48" s="9" t="s">
        <v>90</v>
      </c>
      <c r="G48" s="22">
        <v>0</v>
      </c>
      <c r="H48" s="23">
        <f t="shared" si="0"/>
        <v>0</v>
      </c>
      <c r="J48" s="38">
        <v>0.1</v>
      </c>
      <c r="K48" s="21">
        <v>0</v>
      </c>
    </row>
    <row r="49" spans="2:11" x14ac:dyDescent="0.25">
      <c r="B49" s="9" t="s">
        <v>104</v>
      </c>
      <c r="C49" s="9" t="s">
        <v>107</v>
      </c>
      <c r="E49" s="19">
        <v>46198</v>
      </c>
      <c r="F49" s="9" t="s">
        <v>90</v>
      </c>
      <c r="G49" s="22">
        <v>0</v>
      </c>
      <c r="H49" s="23">
        <f t="shared" ref="H49" si="4">--(G49&gt;=1)</f>
        <v>0</v>
      </c>
      <c r="J49" s="38">
        <v>0</v>
      </c>
      <c r="K49" s="21">
        <v>0</v>
      </c>
    </row>
    <row r="50" spans="2:11" x14ac:dyDescent="0.25">
      <c r="B50" s="9" t="s">
        <v>104</v>
      </c>
      <c r="C50" s="9" t="s">
        <v>110</v>
      </c>
      <c r="E50" s="19">
        <v>46198</v>
      </c>
      <c r="F50" s="9" t="s">
        <v>90</v>
      </c>
      <c r="G50" s="22">
        <v>0</v>
      </c>
      <c r="H50" s="23">
        <f t="shared" ref="H50:H51" si="5">--(G50&gt;=1)</f>
        <v>0</v>
      </c>
      <c r="J50" s="38">
        <v>0</v>
      </c>
      <c r="K50" s="21">
        <v>0</v>
      </c>
    </row>
    <row r="51" spans="2:11" x14ac:dyDescent="0.25">
      <c r="B51" s="9" t="s">
        <v>108</v>
      </c>
      <c r="C51" s="9" t="s">
        <v>109</v>
      </c>
      <c r="E51" s="19">
        <v>46198</v>
      </c>
      <c r="F51" s="9" t="s">
        <v>90</v>
      </c>
      <c r="G51" s="22">
        <v>0</v>
      </c>
      <c r="H51" s="23">
        <f t="shared" si="5"/>
        <v>0</v>
      </c>
      <c r="J51" s="38">
        <v>0</v>
      </c>
      <c r="K51" s="21">
        <v>0</v>
      </c>
    </row>
    <row r="52" spans="2:11" ht="30" x14ac:dyDescent="0.25">
      <c r="B52" s="9" t="s">
        <v>105</v>
      </c>
      <c r="C52" s="9" t="s">
        <v>111</v>
      </c>
      <c r="E52" s="19">
        <v>46198</v>
      </c>
      <c r="F52" s="9" t="s">
        <v>90</v>
      </c>
      <c r="G52" s="22">
        <v>0</v>
      </c>
      <c r="H52" s="23">
        <f t="shared" ref="H52:H53" si="6">--(G52&gt;=1)</f>
        <v>0</v>
      </c>
      <c r="J52" s="38">
        <v>0</v>
      </c>
      <c r="K52" s="21">
        <v>0</v>
      </c>
    </row>
    <row r="53" spans="2:11" ht="30" x14ac:dyDescent="0.25">
      <c r="B53" s="9" t="s">
        <v>113</v>
      </c>
      <c r="C53" s="9" t="s">
        <v>114</v>
      </c>
      <c r="E53" s="19">
        <v>46198</v>
      </c>
      <c r="F53" s="6" t="s">
        <v>89</v>
      </c>
      <c r="G53" s="22">
        <v>0.15</v>
      </c>
      <c r="H53" s="23">
        <f t="shared" si="6"/>
        <v>0</v>
      </c>
      <c r="J53" s="38">
        <v>0</v>
      </c>
      <c r="K53" s="21">
        <v>0.15</v>
      </c>
    </row>
    <row r="54" spans="2:11" x14ac:dyDescent="0.25">
      <c r="J54" s="38">
        <v>0</v>
      </c>
    </row>
  </sheetData>
  <autoFilter ref="B3:AS46" xr:uid="{825F216F-6A2C-43F0-976D-4459909E096A}"/>
  <conditionalFormatting sqref="G4:G53">
    <cfRule type="dataBar" priority="2">
      <dataBar>
        <cfvo type="num" val="0"/>
        <cfvo type="num" val="1"/>
        <color theme="7" tint="0.59999389629810485"/>
      </dataBar>
      <extLst>
        <ext xmlns:x14="http://schemas.microsoft.com/office/spreadsheetml/2009/9/main" uri="{B025F937-C7B1-47D3-B67F-A62EFF666E3E}">
          <x14:id>{C035C468-BF81-4398-9ECF-8D5E9F768BD9}</x14:id>
        </ext>
      </extLst>
    </cfRule>
  </conditionalFormatting>
  <dataValidations count="8">
    <dataValidation allowBlank="1" showInputMessage="1" showErrorMessage="1" prompt="Select % Complete in this column. Press ALT+DOWN ARROW to open the drop-down list, then ENTER to make selection. A status bar indicates progress toward completion" sqref="G3" xr:uid="{151F9C2E-C41F-40E3-927F-E5E520954D3E}"/>
    <dataValidation allowBlank="1" showInputMessage="1" showErrorMessage="1" prompt="Worksheet title is in this cell" sqref="D1:D2 B1" xr:uid="{CF4F781A-1C6C-43E6-9F83-4F93D6CA6007}"/>
    <dataValidation allowBlank="1" showInputMessage="1" showErrorMessage="1" prompt="Select Priority in this column under this heading. Press ALT+DOWN ARROW to open the drop-down list, then ENTER to make selection" sqref="E3" xr:uid="{95C292DB-FCE2-44BC-8E59-4B8265833898}"/>
    <dataValidation allowBlank="1" showInputMessage="1" showErrorMessage="1" prompt="Select Status in this column under this heading.  Press ALT+DOWN ARROW to open the drop-down list, then ENTER to make selection" sqref="F3" xr:uid="{EC11B83B-A91F-4C11-ADB1-45F408735AAF}"/>
    <dataValidation allowBlank="1" showInputMessage="1" showErrorMessage="1" prompt="Icon indicator for task completion in this column under this heading is automatically updated as tasks complete" sqref="H3" xr:uid="{E57FD015-A334-4A3D-9540-92E1D8A918A9}"/>
    <dataValidation allowBlank="1" showInputMessage="1" showErrorMessage="1" prompt="Enter Task in this column under this heading. Use heading filters to find specific entries" sqref="B3:D3" xr:uid="{6FDCA3F5-F6F1-45FB-8AE7-E90C5E60E365}"/>
    <dataValidation type="list" errorStyle="warning" allowBlank="1" showInputMessage="1" showErrorMessage="1" error="Select entry from the list. Select CANCEL, then press ALT+DOWN ARROW to navigate the list. Select ENTER to make selection" sqref="F4:F6" xr:uid="{90892BC2-20A5-4151-9864-7558336C2FE7}">
      <formula1>"Not Started, In Progress, Deferred, Complete"</formula1>
    </dataValidation>
    <dataValidation type="list" allowBlank="1" showInputMessage="1" showErrorMessage="1" sqref="F7:F53" xr:uid="{6E270193-BC92-45F5-BF7F-52289D6B0587}">
      <formula1>"Not Started, In Progress, Deferred, Complete,Not Required"</formula1>
    </dataValidation>
  </dataValidations>
  <pageMargins left="0.7" right="0.7" top="0.75" bottom="0.75" header="0.3" footer="0.3"/>
  <pageSetup orientation="landscape" horizontalDpi="4294967293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035C468-BF81-4398-9ECF-8D5E9F768BD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G4:G53</xm:sqref>
        </x14:conditionalFormatting>
        <x14:conditionalFormatting xmlns:xm="http://schemas.microsoft.com/office/excel/2006/main">
          <x14:cfRule type="iconSet" priority="25" id="{E713B901-0E7B-40B8-A534-1C73C66CF397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" iconId="2"/>
            </x14:iconSet>
          </x14:cfRule>
          <xm:sqref>H4:H53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1EF88-7E56-441B-8A64-7F04D70AC37D}">
  <dimension ref="A1:D24"/>
  <sheetViews>
    <sheetView tabSelected="1" workbookViewId="0">
      <selection activeCell="B7" sqref="B7"/>
    </sheetView>
    <sheetView topLeftCell="A4" workbookViewId="1">
      <selection activeCell="B17" sqref="B17"/>
    </sheetView>
  </sheetViews>
  <sheetFormatPr defaultRowHeight="15" x14ac:dyDescent="0.25"/>
  <cols>
    <col min="1" max="1" width="29.7109375" customWidth="1"/>
    <col min="2" max="2" width="73.140625" customWidth="1"/>
    <col min="3" max="4" width="36.42578125" customWidth="1"/>
  </cols>
  <sheetData>
    <row r="1" spans="1:4" ht="16.5" thickBot="1" x14ac:dyDescent="0.3">
      <c r="A1" s="24" t="s">
        <v>48</v>
      </c>
      <c r="B1" s="25" t="s">
        <v>49</v>
      </c>
      <c r="C1" s="26" t="s">
        <v>50</v>
      </c>
      <c r="D1" s="26" t="s">
        <v>51</v>
      </c>
    </row>
    <row r="2" spans="1:4" ht="16.5" thickBot="1" x14ac:dyDescent="0.3">
      <c r="A2" s="27" t="s">
        <v>52</v>
      </c>
      <c r="B2" s="28" t="s">
        <v>53</v>
      </c>
      <c r="C2" s="28" t="s">
        <v>54</v>
      </c>
      <c r="D2" s="28" t="s">
        <v>55</v>
      </c>
    </row>
    <row r="3" spans="1:4" ht="16.5" thickBot="1" x14ac:dyDescent="0.3">
      <c r="A3" s="27"/>
      <c r="B3" s="29" t="s">
        <v>56</v>
      </c>
      <c r="C3" s="28"/>
      <c r="D3" s="28"/>
    </row>
    <row r="4" spans="1:4" ht="48" thickBot="1" x14ac:dyDescent="0.3">
      <c r="A4" s="27"/>
      <c r="B4" s="29" t="s">
        <v>57</v>
      </c>
      <c r="C4" s="28"/>
      <c r="D4" s="28"/>
    </row>
    <row r="5" spans="1:4" ht="16.5" thickBot="1" x14ac:dyDescent="0.3">
      <c r="A5" s="27" t="s">
        <v>58</v>
      </c>
      <c r="B5" s="28" t="s">
        <v>59</v>
      </c>
      <c r="C5" s="28" t="s">
        <v>60</v>
      </c>
      <c r="D5" s="28" t="s">
        <v>10</v>
      </c>
    </row>
    <row r="6" spans="1:4" ht="32.25" thickBot="1" x14ac:dyDescent="0.3">
      <c r="A6" s="30"/>
      <c r="B6" s="29" t="s">
        <v>61</v>
      </c>
      <c r="C6" s="31"/>
      <c r="D6" s="31"/>
    </row>
    <row r="7" spans="1:4" ht="32.25" thickBot="1" x14ac:dyDescent="0.3">
      <c r="A7" s="30"/>
      <c r="B7" s="29" t="s">
        <v>62</v>
      </c>
      <c r="C7" s="31"/>
      <c r="D7" s="31"/>
    </row>
    <row r="8" spans="1:4" ht="31.5" x14ac:dyDescent="0.25">
      <c r="A8" s="33"/>
      <c r="B8" s="32" t="s">
        <v>63</v>
      </c>
      <c r="C8" s="33"/>
      <c r="D8" s="33"/>
    </row>
    <row r="9" spans="1:4" ht="15.75" x14ac:dyDescent="0.25">
      <c r="A9" s="35"/>
      <c r="B9" s="32" t="s">
        <v>64</v>
      </c>
      <c r="C9" s="35"/>
      <c r="D9" s="35"/>
    </row>
    <row r="10" spans="1:4" ht="15.75" x14ac:dyDescent="0.25">
      <c r="A10" s="35"/>
      <c r="B10" s="32" t="s">
        <v>65</v>
      </c>
      <c r="C10" s="35"/>
      <c r="D10" s="35"/>
    </row>
    <row r="11" spans="1:4" ht="15.75" x14ac:dyDescent="0.25">
      <c r="A11" s="35"/>
      <c r="B11" s="32" t="s">
        <v>66</v>
      </c>
      <c r="C11" s="35"/>
      <c r="D11" s="35"/>
    </row>
    <row r="12" spans="1:4" ht="16.5" thickBot="1" x14ac:dyDescent="0.3">
      <c r="A12" s="34"/>
      <c r="B12" s="29" t="s">
        <v>67</v>
      </c>
      <c r="C12" s="34"/>
      <c r="D12" s="34"/>
    </row>
    <row r="13" spans="1:4" ht="16.5" thickBot="1" x14ac:dyDescent="0.3">
      <c r="A13" s="27" t="s">
        <v>68</v>
      </c>
      <c r="B13" s="28" t="s">
        <v>69</v>
      </c>
      <c r="C13" s="28" t="s">
        <v>70</v>
      </c>
      <c r="D13" s="28" t="s">
        <v>71</v>
      </c>
    </row>
    <row r="14" spans="1:4" ht="32.25" thickBot="1" x14ac:dyDescent="0.3">
      <c r="A14" s="30"/>
      <c r="B14" s="29" t="s">
        <v>72</v>
      </c>
      <c r="C14" s="31"/>
      <c r="D14" s="31"/>
    </row>
    <row r="15" spans="1:4" ht="32.25" thickBot="1" x14ac:dyDescent="0.3">
      <c r="A15" s="30"/>
      <c r="B15" s="29" t="s">
        <v>73</v>
      </c>
      <c r="C15" s="31"/>
      <c r="D15" s="31"/>
    </row>
    <row r="16" spans="1:4" ht="31.5" x14ac:dyDescent="0.25">
      <c r="A16" s="33"/>
      <c r="B16" s="32" t="s">
        <v>74</v>
      </c>
      <c r="C16" s="33"/>
      <c r="D16" s="33"/>
    </row>
    <row r="17" spans="1:4" ht="32.25" thickBot="1" x14ac:dyDescent="0.3">
      <c r="A17" s="34"/>
      <c r="B17" s="29" t="s">
        <v>75</v>
      </c>
      <c r="C17" s="34"/>
      <c r="D17" s="34"/>
    </row>
    <row r="18" spans="1:4" ht="16.5" thickBot="1" x14ac:dyDescent="0.3">
      <c r="A18" s="27" t="s">
        <v>76</v>
      </c>
      <c r="B18" s="28" t="s">
        <v>77</v>
      </c>
      <c r="C18" s="28" t="s">
        <v>78</v>
      </c>
      <c r="D18" s="28" t="s">
        <v>79</v>
      </c>
    </row>
    <row r="19" spans="1:4" ht="32.25" thickBot="1" x14ac:dyDescent="0.3">
      <c r="A19" s="30"/>
      <c r="B19" s="29" t="s">
        <v>80</v>
      </c>
      <c r="C19" s="31"/>
      <c r="D19" s="31"/>
    </row>
    <row r="20" spans="1:4" ht="16.5" thickBot="1" x14ac:dyDescent="0.3">
      <c r="A20" s="30"/>
      <c r="B20" s="29" t="s">
        <v>81</v>
      </c>
      <c r="C20" s="31"/>
      <c r="D20" s="31"/>
    </row>
    <row r="21" spans="1:4" ht="16.5" thickBot="1" x14ac:dyDescent="0.3">
      <c r="A21" s="30"/>
      <c r="B21" s="29" t="s">
        <v>82</v>
      </c>
      <c r="C21" s="31"/>
      <c r="D21" s="31"/>
    </row>
    <row r="22" spans="1:4" ht="15.75" x14ac:dyDescent="0.25">
      <c r="A22" s="33"/>
      <c r="B22" s="32" t="s">
        <v>83</v>
      </c>
      <c r="C22" s="33"/>
      <c r="D22" s="33"/>
    </row>
    <row r="23" spans="1:4" ht="16.5" thickBot="1" x14ac:dyDescent="0.3">
      <c r="A23" s="34"/>
      <c r="B23" s="29" t="s">
        <v>84</v>
      </c>
      <c r="C23" s="34"/>
      <c r="D23" s="34"/>
    </row>
    <row r="24" spans="1:4" ht="16.5" thickBot="1" x14ac:dyDescent="0.3">
      <c r="A24" s="30"/>
      <c r="B24" s="29" t="s">
        <v>85</v>
      </c>
      <c r="C24" s="31"/>
      <c r="D24" s="31"/>
    </row>
  </sheetData>
  <mergeCells count="9">
    <mergeCell ref="A22:A23"/>
    <mergeCell ref="C22:C23"/>
    <mergeCell ref="D22:D23"/>
    <mergeCell ref="A8:A12"/>
    <mergeCell ref="C8:C12"/>
    <mergeCell ref="D8:D12"/>
    <mergeCell ref="A16:A17"/>
    <mergeCell ref="C16:C17"/>
    <mergeCell ref="D16:D1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63325-1FFB-4B92-8120-662513F10342}">
  <dimension ref="A1"/>
  <sheetViews>
    <sheetView workbookViewId="0"/>
    <sheetView workbookViewId="1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3422A7FFD03AF47B40E3148D61510DD" ma:contentTypeVersion="10" ma:contentTypeDescription="Opprett et nytt dokument." ma:contentTypeScope="" ma:versionID="93a5827b91256c075a5bcdb454d162de">
  <xsd:schema xmlns:xsd="http://www.w3.org/2001/XMLSchema" xmlns:xs="http://www.w3.org/2001/XMLSchema" xmlns:p="http://schemas.microsoft.com/office/2006/metadata/properties" xmlns:ns2="7ae1cb1b-b89b-4b35-8dc1-6b34b6393ff0" xmlns:ns3="b6192152-6ac4-477a-b62a-2f500fcdf3b6" targetNamespace="http://schemas.microsoft.com/office/2006/metadata/properties" ma:root="true" ma:fieldsID="13127a08f307124b01356346b67d6a81" ns2:_="" ns3:_="">
    <xsd:import namespace="7ae1cb1b-b89b-4b35-8dc1-6b34b6393ff0"/>
    <xsd:import namespace="b6192152-6ac4-477a-b62a-2f500fcdf3b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ae1cb1b-b89b-4b35-8dc1-6b34b6393f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192152-6ac4-477a-b62a-2f500fcdf3b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CED3C9C-630D-4C4B-A736-44AEC9EEC0A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ae1cb1b-b89b-4b35-8dc1-6b34b6393ff0"/>
    <ds:schemaRef ds:uri="b6192152-6ac4-477a-b62a-2f500fcdf3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E81441C-10B0-478C-AED5-6210518ADFA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CE334B8-DB7D-495D-B7B7-7E69CDC1BE08}">
  <ds:schemaRefs>
    <ds:schemaRef ds:uri="http://purl.org/dc/elements/1.1/"/>
    <ds:schemaRef ds:uri="7ae1cb1b-b89b-4b35-8dc1-6b34b6393ff0"/>
    <ds:schemaRef ds:uri="http://schemas.microsoft.com/office/2006/documentManagement/types"/>
    <ds:schemaRef ds:uri="b6192152-6ac4-477a-b62a-2f500fcdf3b6"/>
    <ds:schemaRef ds:uri="http://www.w3.org/XML/1998/namespace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Status</vt:lpstr>
      <vt:lpstr>Sheet1</vt:lpstr>
      <vt:lpstr>AdditionalActivities</vt:lpstr>
      <vt:lpstr>Status!Print_Area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Tonia Pedersen</dc:creator>
  <cp:lastModifiedBy>Tonia Pedersen</cp:lastModifiedBy>
  <dcterms:created xsi:type="dcterms:W3CDTF">2025-08-14T13:19:54Z</dcterms:created>
  <dcterms:modified xsi:type="dcterms:W3CDTF">2026-05-19T17:55:40Z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0x010100C3422A7FFD03AF47B40E3148D61510DD</vt:lpwstr>
  </property>
</Properties>
</file>