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2C7CBE0B-9658-4ED3-8B6C-ADF7568EB7AE}" xr6:coauthVersionLast="47" xr6:coauthVersionMax="47" xr10:uidLastSave="{00000000-0000-0000-0000-000000000000}"/>
  <bookViews>
    <workbookView xWindow="-98" yWindow="-98" windowWidth="28996" windowHeight="15675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<sst xmlns="http://schemas.openxmlformats.org/spreadsheetml/2006/main" count="128" uniqueCount="75">
  <si>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</si>
  <si>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</si>
  <si>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</si>
  <si>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</si>
  <si>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</si>
  <si>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</si>
  <si>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</si>
  <si>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</si>
  <si>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</si>
  <si>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</si>
  <si>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</si>
  <si>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</si>
  <si>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</si>
  <si>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</si>
  <si>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</si>
  <si>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</si>
  <si>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</si>
  <si>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</si>
  <si>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</si>
  <si>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</si>
  <si>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</si>
  <si>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</si>
  <si>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</si>
  <si>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</si>
  <si>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</si>
  <si>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</si>
  <si>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</si>
  <si>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</si>
  <si>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</si>
  <si>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</si>
  <si>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</si>
  <si>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</si>
  <si>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</si>
  <si>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</si>
  <si>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</si>
  <si>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</si>
  <si>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</si>
  <si>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</si>
  <si>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</si>
  <si>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</si>
  <si>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</si>
  <si>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</si>
  <si>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</si>
  <si>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</si>
  <si>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</si>
  <si>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</si>
  <si>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</si>
  <si>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</si>
  <si>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</si>
  <si>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</si>
  <si>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</si>
  <si>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</si>
  <si>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</si>
  <si>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</si>
  <si>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</si>
  <si>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</si>
  <si>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</si>
  <si>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</si>
  <si>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</si>
  <si>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</si>
  <si>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</si>
  <si>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</si>
  <si>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</si>
  <si>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</si>
  <si>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</si>
  <si>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</si>
  <si>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</si>
  <si>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</si>
  <si>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</si>
  <si>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</si>
  <si>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Exact text positions - fine adjustments</t>
  </si>
  <si>
    <t>13.10.2025</t>
  </si>
  <si>
    <t>Some issues with original files.</t>
  </si>
  <si>
    <t>tonia to check drafting standard for ht</t>
  </si>
  <si>
    <t>20.10.2025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</si>
</sst>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Q4" sqref="Q4:Q49"/>
    </sheetView>
  </sheetViews>
  <sheetFormatPr defaultRowHeight="14.25" x14ac:dyDescent="0.45"/>
  <cols>
    <col min="1" max="1" width="5.86328125" customWidth="1"/>
    <col min="2" max="2" width="45.3984375" customWidth="1"/>
    <col min="3" max="3" width="64.3984375" customWidth="1"/>
    <col min="4" max="4" width="33.3984375" customWidth="1"/>
    <col min="5" max="5" width="16.59765625" style="20" customWidth="1"/>
    <col min="6" max="6" width="14.3984375" customWidth="1"/>
    <col min="7" max="7" width="25.86328125" customWidth="1"/>
    <col min="8" max="8" width="7" customWidth="1"/>
    <col min="9" max="9" width="34" customWidth="1"/>
    <col min="10" max="10" width="18.1328125" style="22" hidden="1" customWidth="1"/>
    <col min="11" max="11" width="16.86328125" style="22" hidden="1" customWidth="1"/>
    <col min="12" max="12" width="15" style="22" hidden="1" customWidth="1"/>
    <col min="13" max="13" width="19.86328125" style="22" hidden="1" customWidth="1"/>
    <col min="14" max="14" width="17.73046875" style="22" customWidth="1"/>
    <col min="15" max="15" width="16" style="22" customWidth="1"/>
    <col min="16" max="16" width="16.3984375" customWidth="1"/>
    <col min="17" max="17" width="15.73046875" style="22" customWidth="1"/>
    <col min="18" max="36" width="9.1328125" style="22"/>
  </cols>
  <sheetData>
    <row r="1" spans="2:59" ht="34.9" x14ac:dyDescent="0.9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7">
      <c r="C2" s="6"/>
      <c r="D2" s="1"/>
      <c r="E2" s="17"/>
      <c r="F2" s="1"/>
      <c r="G2" s="4"/>
      <c r="H2" s="1"/>
      <c r="I2" s="6"/>
      <c r="P2" s="26"/>
    </row>
    <row r="3" spans="2:59" ht="19.5" x14ac:dyDescent="0.6">
      <c r="B3" s="2" t="s">
        <v>20</v>
      </c>
      <c r="C3" s="8" t="s">
        <v>19</v>
      </c>
      <c r="D3" s="2" t="s">
        <v>36</v>
      </c>
      <c r="E3" s="18" t="s">
        <v>46</v>
      </c>
      <c r="F3" s="2" t="s">
        <v>49</v>
      </c>
      <c r="G3" s="5" t="s">
        <v>50</v>
      </c>
      <c r="H3" s="3" t="s">
        <v>1</v>
      </c>
      <c r="I3" s="5" t="s">
        <v>48</v>
      </c>
      <c r="J3" s="21" t="s">
        <v>47</v>
      </c>
      <c r="K3" s="21" t="s">
        <v>54</v>
      </c>
      <c r="L3" s="21" t="s">
        <v>55</v>
      </c>
      <c r="M3" s="21" t="s">
        <v>63</v>
      </c>
      <c r="N3" s="21" t="s">
        <v>66</v>
      </c>
      <c r="O3" s="21" t="s">
        <v>68</v>
      </c>
      <c r="P3" s="27" t="s">
        <v>71</v>
      </c>
      <c r="Q3" s="27" t="s">
        <v>74</v>
      </c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2.75" x14ac:dyDescent="0.45">
      <c r="B4" s="9" t="s">
        <v>12</v>
      </c>
      <c r="C4" s="9" t="s">
        <v>13</v>
      </c>
      <c r="D4" s="9" t="s">
        <v>69</v>
      </c>
      <c r="E4" s="19">
        <v>46010</v>
      </c>
      <c r="F4" s="9" t="str">
        <f>IF(G4=1,"Complete",IF(G4&lt;&gt;0,"In Progess","Not Started"))</f>
        <v>In Progess</v>
      </c>
      <c r="G4" s="10">
        <v>0.85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</row>
    <row r="5" spans="2:59" ht="28.5" x14ac:dyDescent="0.4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</row>
    <row r="6" spans="2:59" ht="28.5" x14ac:dyDescent="0.4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44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</row>
    <row r="7" spans="2:59" x14ac:dyDescent="0.45">
      <c r="B7" s="9" t="s">
        <v>3</v>
      </c>
      <c r="C7" s="15" t="s">
        <v>22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</row>
    <row r="8" spans="2:59" x14ac:dyDescent="0.45">
      <c r="B8" s="9" t="s">
        <v>3</v>
      </c>
      <c r="C8" s="15" t="s">
        <v>23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</row>
    <row r="9" spans="2:59" x14ac:dyDescent="0.45">
      <c r="B9" s="9" t="s">
        <v>3</v>
      </c>
      <c r="C9" s="9" t="s">
        <v>24</v>
      </c>
      <c r="D9" s="9"/>
      <c r="E9" s="19">
        <v>45870</v>
      </c>
      <c r="F9" s="9" t="str">
        <f t="shared" si="0"/>
        <v>In Progess</v>
      </c>
      <c r="G9" s="10">
        <v>0.1</v>
      </c>
      <c r="H9" s="11">
        <f t="shared" si="1"/>
        <v>0</v>
      </c>
      <c r="I9" s="9"/>
      <c r="J9" s="23"/>
      <c r="P9" s="28"/>
      <c r="Q9" s="22">
        <v>0.1</v>
      </c>
    </row>
    <row r="10" spans="2:59" x14ac:dyDescent="0.45">
      <c r="B10" s="9" t="s">
        <v>4</v>
      </c>
      <c r="C10" s="9" t="s">
        <v>24</v>
      </c>
      <c r="D10" s="9"/>
      <c r="E10" s="19">
        <v>45909</v>
      </c>
      <c r="F10" s="9" t="s">
        <v>53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</row>
    <row r="11" spans="2:59" ht="28.5" x14ac:dyDescent="0.45">
      <c r="B11" s="9" t="s">
        <v>5</v>
      </c>
      <c r="C11" s="15" t="s">
        <v>22</v>
      </c>
      <c r="D11" s="9" t="s">
        <v>65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64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</row>
    <row r="12" spans="2:59" x14ac:dyDescent="0.45">
      <c r="B12" s="9" t="s">
        <v>5</v>
      </c>
      <c r="C12" s="15" t="s">
        <v>23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</row>
    <row r="13" spans="2:59" x14ac:dyDescent="0.45">
      <c r="B13" s="9" t="s">
        <v>5</v>
      </c>
      <c r="C13" s="9" t="s">
        <v>24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  <c r="Q13" s="22">
        <v>0.15</v>
      </c>
    </row>
    <row r="14" spans="2:59" x14ac:dyDescent="0.45">
      <c r="B14" s="9" t="s">
        <v>6</v>
      </c>
      <c r="C14" s="9" t="s">
        <v>40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41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</row>
    <row r="15" spans="2:59" ht="28.5" x14ac:dyDescent="0.4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45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</row>
    <row r="16" spans="2:59" x14ac:dyDescent="0.4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</row>
    <row r="17" spans="2:17" ht="17.25" customHeight="1" x14ac:dyDescent="0.4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  <c r="P17" s="28"/>
    </row>
    <row r="18" spans="2:17" x14ac:dyDescent="0.4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7" x14ac:dyDescent="0.4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7" x14ac:dyDescent="0.4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7" ht="85.5" x14ac:dyDescent="0.4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58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</row>
    <row r="22" spans="2:17" ht="17.25" customHeight="1" x14ac:dyDescent="0.4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</row>
    <row r="23" spans="2:17" x14ac:dyDescent="0.4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7" x14ac:dyDescent="0.4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7" x14ac:dyDescent="0.4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7" ht="49.5" customHeight="1" x14ac:dyDescent="0.4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56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</row>
    <row r="27" spans="2:17" x14ac:dyDescent="0.45">
      <c r="B27" s="9" t="s">
        <v>2</v>
      </c>
      <c r="C27" s="9" t="s">
        <v>22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</row>
    <row r="28" spans="2:17" x14ac:dyDescent="0.45">
      <c r="B28" s="9" t="s">
        <v>2</v>
      </c>
      <c r="C28" s="9" t="s">
        <v>23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</row>
    <row r="29" spans="2:17" x14ac:dyDescent="0.45">
      <c r="B29" s="9" t="s">
        <v>2</v>
      </c>
      <c r="C29" s="9" t="s">
        <v>24</v>
      </c>
      <c r="D29" s="12"/>
      <c r="E29" s="19">
        <v>45929</v>
      </c>
      <c r="F29" s="9" t="str">
        <f t="shared" si="0"/>
        <v>In Progess</v>
      </c>
      <c r="G29" s="10">
        <v>0.1</v>
      </c>
      <c r="H29" s="11">
        <f t="shared" si="1"/>
        <v>0</v>
      </c>
      <c r="I29" s="9"/>
      <c r="J29" s="23"/>
      <c r="P29" s="28"/>
      <c r="Q29" s="22">
        <v>0.1</v>
      </c>
    </row>
    <row r="30" spans="2:17" ht="28.5" x14ac:dyDescent="0.4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57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</row>
    <row r="31" spans="2:17" ht="17.25" customHeight="1" x14ac:dyDescent="0.4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</row>
    <row r="32" spans="2:17" x14ac:dyDescent="0.4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  <c r="P32" s="28"/>
    </row>
    <row r="33" spans="2:17" x14ac:dyDescent="0.4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7" x14ac:dyDescent="0.4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7" x14ac:dyDescent="0.45">
      <c r="B35" s="9" t="s">
        <v>39</v>
      </c>
      <c r="C35" s="9" t="s">
        <v>22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</row>
    <row r="36" spans="2:17" x14ac:dyDescent="0.45">
      <c r="B36" s="9" t="s">
        <v>39</v>
      </c>
      <c r="C36" s="9" t="s">
        <v>23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</row>
    <row r="37" spans="2:17" x14ac:dyDescent="0.45">
      <c r="B37" s="9" t="s">
        <v>39</v>
      </c>
      <c r="C37" s="9" t="s">
        <v>24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</row>
    <row r="38" spans="2:17" ht="57" x14ac:dyDescent="0.45">
      <c r="B38" s="9" t="s">
        <v>27</v>
      </c>
      <c r="C38" s="9" t="s">
        <v>52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51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</row>
    <row r="39" spans="2:17" x14ac:dyDescent="0.45">
      <c r="B39" s="9" t="s">
        <v>27</v>
      </c>
      <c r="C39" s="9" t="s">
        <v>23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37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</row>
    <row r="40" spans="2:17" ht="28.5" x14ac:dyDescent="0.45">
      <c r="B40" s="9" t="s">
        <v>27</v>
      </c>
      <c r="C40" s="9" t="s">
        <v>42</v>
      </c>
      <c r="D40" s="9" t="s">
        <v>67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43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</row>
    <row r="41" spans="2:17" ht="85.5" x14ac:dyDescent="0.45">
      <c r="B41" s="9" t="s">
        <v>10</v>
      </c>
      <c r="C41" s="9" t="s">
        <v>28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38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</row>
    <row r="42" spans="2:17" x14ac:dyDescent="0.4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</row>
    <row r="43" spans="2:17" x14ac:dyDescent="0.4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</row>
    <row r="44" spans="2:17" x14ac:dyDescent="0.4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</row>
    <row r="45" spans="2:17" x14ac:dyDescent="0.45">
      <c r="B45" s="7" t="s">
        <v>16</v>
      </c>
      <c r="C45" s="9" t="s">
        <v>31</v>
      </c>
      <c r="D45" s="12"/>
      <c r="E45" s="19">
        <v>46010</v>
      </c>
      <c r="F45" s="9" t="str">
        <f t="shared" si="0"/>
        <v>In Progess</v>
      </c>
      <c r="G45" s="13">
        <v>0.1</v>
      </c>
      <c r="H45" s="11">
        <f t="shared" si="1"/>
        <v>0</v>
      </c>
      <c r="I45" s="9" t="s">
        <v>72</v>
      </c>
      <c r="J45" s="23"/>
      <c r="P45" s="29">
        <v>0.1</v>
      </c>
      <c r="Q45" s="22">
        <v>0.1</v>
      </c>
    </row>
    <row r="46" spans="2:17" x14ac:dyDescent="0.4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</row>
    <row r="47" spans="2:17" x14ac:dyDescent="0.4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</row>
    <row r="48" spans="2:17" ht="28.5" x14ac:dyDescent="0.45">
      <c r="B48" t="s">
        <v>59</v>
      </c>
      <c r="C48" s="6" t="s">
        <v>60</v>
      </c>
      <c r="E48" s="20">
        <v>46010</v>
      </c>
      <c r="F48" s="9" t="str">
        <f t="shared" si="0"/>
        <v>In Progess</v>
      </c>
      <c r="G48" s="24">
        <v>0.7</v>
      </c>
      <c r="H48" s="25">
        <f t="shared" si="1"/>
        <v>0</v>
      </c>
      <c r="I48" t="s">
        <v>73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</row>
    <row r="49" spans="2:17" x14ac:dyDescent="0.45">
      <c r="B49" t="s">
        <v>61</v>
      </c>
      <c r="C49" s="6" t="s">
        <v>62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2025-10-20T10:25:27Z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