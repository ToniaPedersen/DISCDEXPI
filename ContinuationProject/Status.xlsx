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9BBB9FB2-F7D7-4828-A00E-4805A832F5E2}" xr6:coauthVersionLast="47" xr6:coauthVersionMax="47" xr10:uidLastSave="{00000000-0000-0000-0000-000000000000}"/>
  <bookViews>
    <workbookView xWindow="-1860" yWindow="10702" windowWidth="28995" windowHeight="15676" xr2:uid="{D76F2AFF-8B83-4673-A33F-A4D572D8D434}"/>
  </bookViews>
  <sheets>
    <sheet name="Status" sheetId="4" r:id="rId1"/>
    <sheet name="Sheet2" sheetId="6" r:id="rId2"/>
    <sheet name="Sheet1" sheetId="5" r:id="rId3"/>
    <sheet name="AdditionalActivities" sheetId="2" state="hidden" r:id="rId4"/>
  </sheets>
  <definedNames>
    <definedName name="_xlnm._FilterDatabase" localSheetId="0" hidden="1">Status!$B$3:$AS$47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4" l="1"/>
  <c r="H54" i="4"/>
  <c r="H52" i="4"/>
  <c r="H51" i="4"/>
  <c r="H50" i="4"/>
  <c r="F26" i="4"/>
  <c r="F25" i="4"/>
  <c r="F24" i="4"/>
  <c r="F23" i="4"/>
  <c r="F22" i="4"/>
  <c r="F21" i="4"/>
  <c r="F15" i="4"/>
  <c r="F14" i="4"/>
  <c r="F12" i="4"/>
  <c r="F11" i="4"/>
  <c r="F10" i="4"/>
  <c r="F8" i="4"/>
  <c r="F7" i="4"/>
  <c r="F6" i="4"/>
  <c r="H53" i="4"/>
  <c r="H49" i="4" l="1"/>
  <c r="H48" i="4"/>
  <c r="H40" i="4" l="1"/>
  <c r="H35" i="4"/>
  <c r="F41" i="4"/>
  <c r="F42" i="4"/>
  <c r="F43" i="4"/>
  <c r="F44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6" i="4"/>
  <c r="H47" i="4"/>
  <c r="H4" i="4"/>
</calcChain>
</file>

<file path=xl/sharedStrings.xml><?xml version="1.0" encoding="utf-8"?>
<sst xmlns="http://schemas.openxmlformats.org/spreadsheetml/2006/main" count="286" uniqueCount="173">
  <si>
    <t>DISC DEXPI Continuation Project - Status</t>
  </si>
  <si>
    <t>DONE?</t>
  </si>
  <si>
    <t>Task</t>
  </si>
  <si>
    <t>Gap Section Label</t>
  </si>
  <si>
    <t>Additional details</t>
  </si>
  <si>
    <t>Target Date</t>
  </si>
  <si>
    <t>Notes</t>
  </si>
  <si>
    <t>Status</t>
  </si>
  <si>
    <t>%Complete</t>
  </si>
  <si>
    <t>Complete</t>
  </si>
  <si>
    <t>21.04.2026</t>
  </si>
  <si>
    <t>Missing Symbol</t>
  </si>
  <si>
    <t>OPC: ToFromHeader_bottom</t>
  </si>
  <si>
    <t>OPC: ToFromHeader_top</t>
  </si>
  <si>
    <t>Vent To Safe</t>
  </si>
  <si>
    <t>Bird Screen</t>
  </si>
  <si>
    <t>TStrainerTemporary</t>
  </si>
  <si>
    <t>Monoflange Valve</t>
  </si>
  <si>
    <t>Electrical Gas Heater</t>
  </si>
  <si>
    <t>BucketFilter</t>
  </si>
  <si>
    <t>Caisson</t>
  </si>
  <si>
    <t>VaneTypeDistributer</t>
  </si>
  <si>
    <t>WireMeshDemister</t>
  </si>
  <si>
    <t>CycloneMat</t>
  </si>
  <si>
    <t>PIF: Non SASFunc Local Panel</t>
  </si>
  <si>
    <t>PIF: SAS Func VDU Local Panel</t>
  </si>
  <si>
    <t>PIF: Inst Behind Local Panel</t>
  </si>
  <si>
    <t>PIF: Heat Traced</t>
  </si>
  <si>
    <t>Electro/Hydraulic Actuator</t>
  </si>
  <si>
    <t>AreaBreak</t>
  </si>
  <si>
    <t>BlindFlange_Double</t>
  </si>
  <si>
    <t>OPC: HeaderWithMainTag_bottom</t>
  </si>
  <si>
    <t>OPC: HeaderWithMainTag_top</t>
  </si>
  <si>
    <t>Plug</t>
  </si>
  <si>
    <t>ModularValve_NormalOpenOptions (Double Isolation and Bleed)</t>
  </si>
  <si>
    <t>ModularValve_NormalOpenOptions (Double Block Bleed and Check)</t>
  </si>
  <si>
    <t>DemistingCyclone</t>
  </si>
  <si>
    <t>RemovableSpool</t>
  </si>
  <si>
    <t>OPC: Dual Flow Full</t>
  </si>
  <si>
    <t>Bunded Area</t>
  </si>
  <si>
    <t>WaterInOilAnalyser</t>
  </si>
  <si>
    <t>OilInWaterAnalyser</t>
  </si>
  <si>
    <t>UltrasonicFlowClampOn</t>
  </si>
  <si>
    <t>TundishNoArrow</t>
  </si>
  <si>
    <t>NozzleHoseConn</t>
  </si>
  <si>
    <t>PSVValvePilot</t>
  </si>
  <si>
    <t>Pump</t>
  </si>
  <si>
    <t>SymbolAdjustment</t>
  </si>
  <si>
    <t>Milestone</t>
  </si>
  <si>
    <t>Name</t>
  </si>
  <si>
    <t>Milestone Target Date</t>
  </si>
  <si>
    <t>Actual/ Suggested Revised Date</t>
  </si>
  <si>
    <t>DEXPIM00</t>
  </si>
  <si>
    <t>Project environment set up</t>
  </si>
  <si>
    <t>16.02.2026</t>
  </si>
  <si>
    <t>18.03.2026*</t>
  </si>
  <si>
    <t>Prepare project plan detail Phase1 - Phase3 deliveries</t>
  </si>
  <si>
    <t>Make available current DISC DEXPI verificator alpha 4 (pnb Toolbox 2.0.0 alpha 4 for DEXPI 2.0 - DISC III) in accordance with licensing agreements.</t>
  </si>
  <si>
    <t>DEXPIM01</t>
  </si>
  <si>
    <t>Phase1</t>
  </si>
  <si>
    <t>19.03.2026</t>
  </si>
  <si>
    <t>Create missing symbols identified by Aibel (Ref: Appendix A: Missing Symbols) in DEXPI format.</t>
  </si>
  <si>
    <t>Phase1 delivery of DISC DEXPI profile version 0.4 to include new symbols (HTML &amp; XML versions)</t>
  </si>
  <si>
    <t>Phase 1 delivery of Verificator alpha 5 in accordance with licensing agreements:</t>
  </si>
  <si>
    <t>* full verification on DEXPI-level (e.g., correct types, multiplicities, ...)</t>
  </si>
  <si>
    <t>* only "meaningful" error messages</t>
  </si>
  <si>
    <t>* usage of DISC symbols in diagram</t>
  </si>
  <si>
    <t>* export of error messages and SVG</t>
  </si>
  <si>
    <t>DEXPIM02</t>
  </si>
  <si>
    <t>Phase2</t>
  </si>
  <si>
    <t>16.4.2026</t>
  </si>
  <si>
    <t>19.5.2026</t>
  </si>
  <si>
    <t>Modify ‘incorrect’ size/connection point symbols as identified by Aibel (max 20).</t>
  </si>
  <si>
    <t>Phase2 delivery of DISC DEXPI profile version 0.5 to include updated symbols. (HTML &amp; XML versions)</t>
  </si>
  <si>
    <t>Phase2 delivery of Verificator alpha 6 in accordance with licensing agreements; this is alpha 5 with addition of:</t>
  </si>
  <si>
    <t>* full DISC verification (e.g., correct symbol usage, connection points, ...)</t>
  </si>
  <si>
    <t>DEXPIM03</t>
  </si>
  <si>
    <t>Phase3 Finalization</t>
  </si>
  <si>
    <t>21.5.2026</t>
  </si>
  <si>
    <t>25.6.2026</t>
  </si>
  <si>
    <t>Deliver DISC DEXPI digital profile version 0.6 with PCA symbol reference placeholder.</t>
  </si>
  <si>
    <t>Deliver revised Blueprint files with updated symbol details.</t>
  </si>
  <si>
    <t>Deliver human-readable profile (HTML)</t>
  </si>
  <si>
    <t>Phase3 delivery of Verificator beta 1; this is alpha 6 with addition of:</t>
  </si>
  <si>
    <t>* GUI (incl. linked views for conceptual model tree and graphics)</t>
  </si>
  <si>
    <t>Deliver final report for DISC DEXPI</t>
  </si>
  <si>
    <t>Added Symbol</t>
  </si>
  <si>
    <t>Not Required</t>
  </si>
  <si>
    <t>Added 1G Heattracing rule to Requirements document, added HeatTraceRequired to other class types</t>
  </si>
  <si>
    <t>PIF: Shutdown</t>
  </si>
  <si>
    <t xml:space="preserve">Added additional shutdown codes to Profile </t>
  </si>
  <si>
    <t>In Progress</t>
  </si>
  <si>
    <t>Not Started</t>
  </si>
  <si>
    <t>Flip horizontally for heat trace rule and add options</t>
  </si>
  <si>
    <t>Resized</t>
  </si>
  <si>
    <t>DISC DEXPI Profile - M1</t>
  </si>
  <si>
    <t>Add new symbols to profile, enumeration types</t>
  </si>
  <si>
    <t>Verificator - M1</t>
  </si>
  <si>
    <t>Verification at DEXPI - level (correct types, multiplicities)</t>
  </si>
  <si>
    <t>Verification to provide only 'meaningful' error messages</t>
  </si>
  <si>
    <t>Verification of DISC profile symbols in diagram</t>
  </si>
  <si>
    <t>Verificator to output error messages and SVG</t>
  </si>
  <si>
    <t>Update Symbol Ref ID</t>
  </si>
  <si>
    <t>Error ID</t>
  </si>
  <si>
    <t>Category</t>
  </si>
  <si>
    <t>Error condition</t>
  </si>
  <si>
    <t>Default severity</t>
  </si>
  <si>
    <t>ERR-E01</t>
  </si>
  <si>
    <t>Schema</t>
  </si>
  <si>
    <t>XML is not well-formed: the file cannot be parsed as valid XML.</t>
  </si>
  <si>
    <t>Error — file cannot be processed further</t>
  </si>
  <si>
    <t>ERR-E02</t>
  </si>
  <si>
    <t>Element namespace does not match the declared DEXPI 2.0 schema namespace.</t>
  </si>
  <si>
    <t>Error</t>
  </si>
  <si>
    <t>ERR-E03</t>
  </si>
  <si>
    <t>An element present in the file is not defined in the DEXPI 2.0 XML schema.</t>
  </si>
  <si>
    <t>ERR-E04</t>
  </si>
  <si>
    <t>An attribute present on an element is not permitted for that element by the DEXPI 2.0 XML schema.</t>
  </si>
  <si>
    <t>ERR-E05</t>
  </si>
  <si>
    <t>A mandatory attribute defined in the DEXPI 2.0 schema is absent from an element that requires it.</t>
  </si>
  <si>
    <t>ERR-E06</t>
  </si>
  <si>
    <t>An attribute value does not conform to the data type defined for that attribute in the DEXPI 2.0 schema (e.g. non-numeric value in a numeric field).</t>
  </si>
  <si>
    <t>ERR-E07</t>
  </si>
  <si>
    <t>Meta model</t>
  </si>
  <si>
    <t>An object's type attribute references a class that does not exist in the DEXPI 2.0 Plant Meta Model.</t>
  </si>
  <si>
    <t>ERR-E08</t>
  </si>
  <si>
    <t>An object is assigned to a parent element for which the DEXPI 2.0 Plant Meta Model does not permit objects of that type.</t>
  </si>
  <si>
    <t>ERR-E09</t>
  </si>
  <si>
    <t>Referential</t>
  </si>
  <si>
    <t>An ID referenced by a relationship attribute does not correspond to any object present in the file.</t>
  </si>
  <si>
    <t>ERR-E10</t>
  </si>
  <si>
    <t>An ID attribute value is not unique within the file: two or more objects share the same ID.</t>
  </si>
  <si>
    <t>ERR-E11</t>
  </si>
  <si>
    <t>A Persistent Identifier (PersistentID) attribute value is not unique within the file.</t>
  </si>
  <si>
    <t>ERR-E12</t>
  </si>
  <si>
    <t>A relationship references an object of a type that is not permitted as the target of that relationship by the Plant Meta Model.</t>
  </si>
  <si>
    <t>ERR-E13</t>
  </si>
  <si>
    <t>ERR-E14</t>
  </si>
  <si>
    <t>ERR-E15</t>
  </si>
  <si>
    <t>A PlantMetaData element is absent from the file.</t>
  </si>
  <si>
    <t>ERR-E16</t>
  </si>
  <si>
    <t>A graphical element present in the DEXPI file has no corresponding model object (orphaned graphical element).</t>
  </si>
  <si>
    <t>ERR-E17</t>
  </si>
  <si>
    <t>A model object present in the DEXPI file has no corresponding graphical representation (orphaned model object).</t>
  </si>
  <si>
    <t>PRF-E01</t>
  </si>
  <si>
    <t>Profile</t>
  </si>
  <si>
    <t>A profile XML file supplied by the member does not conform to the DEXPI Profile Meta Model structure and cannot be parsed.</t>
  </si>
  <si>
    <t>PRF-E02</t>
  </si>
  <si>
    <t>A PropertyConstraint in the profile references a ConstrainedType that does not exist in the DEXPI 2.0 Plant Meta Model or in any loaded extension profile model.</t>
  </si>
  <si>
    <t>PRF-E03</t>
  </si>
  <si>
    <t>An object of a ConstrainedType defined in the profile has a property whose value count is below the Lower bound specified in the PropertyConstraint.</t>
  </si>
  <si>
    <t>Symbol reference for class as defined in profile is not correct</t>
  </si>
  <si>
    <t>Node connection graphical x/y ordinates do not match connection</t>
  </si>
  <si>
    <t>DISC DEXPI Profile - M2</t>
  </si>
  <si>
    <t>Verificator - M2</t>
  </si>
  <si>
    <t>Verification full DISC DEXPI Verificator for error validation (e.g. Correct symbol usage, connection points ...)</t>
  </si>
  <si>
    <t>Update to all relevant symbols to remove NORSOK identifiers.</t>
  </si>
  <si>
    <t>Add updated symbols to profile, enumeration types from M2 group</t>
  </si>
  <si>
    <t>DISC DEXPI Profile - M3</t>
  </si>
  <si>
    <t>Verificator - M3</t>
  </si>
  <si>
    <t>Add final updates to symbol provide before 1.06.2026</t>
  </si>
  <si>
    <t>Add PCA symbol reference URI placeholder</t>
  </si>
  <si>
    <t>Blueprint - rev 10</t>
  </si>
  <si>
    <t>Blueprint files with updated symbols</t>
  </si>
  <si>
    <t>HTML - human readable Profile</t>
  </si>
  <si>
    <t>Verificator beta 1 (alpha 6) with GUI - linking between model tree and graphics.</t>
  </si>
  <si>
    <t>Need to discuss number of new symbols</t>
  </si>
  <si>
    <t>Requirements Document Update</t>
  </si>
  <si>
    <t>Deliver final report of project and updated Requirements Document</t>
  </si>
  <si>
    <t>Symbol not required</t>
  </si>
  <si>
    <t>Requirements Document Update M1</t>
  </si>
  <si>
    <t>Updated requirements document with relevant changes</t>
  </si>
  <si>
    <t>Heat tracing requirement change.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</si>
</sst>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  <font>
      <b/>
      <sz val="12"/>
      <color rgb="FF000000"/>
      <name val="Aptos"/>
      <family val="2"/>
    </font>
    <font>
      <sz val="12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164" fontId="4" fillId="0" borderId="0">
      <alignment horizontal="center" vertical="center"/>
    </xf>
    <xf numFmtId="14" fontId="5" fillId="0" borderId="0" applyFill="0" applyBorder="0">
      <alignment horizontal="right" vertical="center"/>
    </xf>
  </cellStyleXfs>
  <cellXfs count="37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4" fillId="0" borderId="0" xfId="4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2" xfId="0" applyBorder="1"/>
    <xf numFmtId="0" fontId="3" fillId="0" borderId="0" xfId="3" applyBorder="1" applyAlignment="1">
      <alignment horizontal="left" wrapText="1"/>
    </xf>
    <xf numFmtId="0" fontId="0" fillId="0" borderId="2" xfId="0" applyBorder="1" applyAlignment="1">
      <alignment wrapText="1"/>
    </xf>
    <xf numFmtId="9" fontId="5" fillId="0" borderId="2" xfId="1" applyFont="1" applyBorder="1" applyAlignment="1">
      <alignment horizontal="right"/>
    </xf>
    <xf numFmtId="164" fontId="4" fillId="0" borderId="2" xfId="4" applyBorder="1" applyAlignment="1">
      <alignment horizontal="center"/>
    </xf>
    <xf numFmtId="0" fontId="0" fillId="0" borderId="2" xfId="0" applyBorder="1" applyAlignment="1">
      <alignment vertical="center" wrapText="1"/>
    </xf>
    <xf numFmtId="9" fontId="5" fillId="0" borderId="2" xfId="1" applyFont="1" applyBorder="1" applyAlignment="1">
      <alignment horizontal="right" vertical="center"/>
    </xf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6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2" xfId="0" applyNumberFormat="1" applyBorder="1" applyAlignment="1">
      <alignment wrapText="1"/>
    </xf>
    <xf numFmtId="14" fontId="0" fillId="0" borderId="0" xfId="0" applyNumberFormat="1"/>
    <xf numFmtId="9" fontId="0" fillId="0" borderId="0" xfId="0" applyNumberFormat="1"/>
    <xf numFmtId="9" fontId="5" fillId="0" borderId="0" xfId="1" applyFont="1" applyFill="1" applyBorder="1" applyAlignment="1">
      <alignment horizontal="right" vertical="center"/>
    </xf>
    <xf numFmtId="164" fontId="4" fillId="0" borderId="0" xfId="4" applyAlignment="1">
      <alignment horizontal="center"/>
    </xf>
    <xf numFmtId="14" fontId="7" fillId="0" borderId="0" xfId="0" applyNumberFormat="1" applyFont="1"/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 wrapText="1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9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</cellXfs>
  <cellStyles count="6">
    <cellStyle name="Date" xfId="5" xr:uid="{2ABB41C5-3CC8-4E1C-85D9-965CF83E22BD}"/>
    <cellStyle name="Done" xfId="4" xr:uid="{155A3BE5-8E81-4DF4-8692-E9EB5B66282A}"/>
    <cellStyle name="Heading 1" xfId="3" builtinId="16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AS54"/>
  <sheetViews>
    <sheetView tabSelected="1" workbookViewId="0">
      <pane ySplit="3" topLeftCell="A48" activePane="bottomLeft" state="frozen"/>
      <selection pane="bottomLeft" activeCell="D16" sqref="D16"/>
    </sheetView>
  </sheetViews>
  <sheetFormatPr defaultRowHeight="15" x14ac:dyDescent="0.25"/>
  <cols>
    <col min="1" max="1" width="5.85546875" customWidth="1"/>
    <col min="2" max="2" width="27.140625" customWidth="1"/>
    <col min="3" max="3" width="66" customWidth="1"/>
    <col min="4" max="4" width="38.425781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49" customWidth="1"/>
    <col min="10" max="10" width="16.85546875" style="21" customWidth="1"/>
    <col min="11" max="11" width="34.42578125" style="21" customWidth="1"/>
    <col min="12" max="22" width="9.140625" style="21"/>
  </cols>
  <sheetData>
    <row r="1" spans="2:45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45" ht="9" customHeight="1" x14ac:dyDescent="0.4">
      <c r="C2" s="6"/>
      <c r="D2" s="1"/>
      <c r="E2" s="17"/>
      <c r="F2" s="1"/>
      <c r="G2" s="4"/>
      <c r="H2" s="1"/>
      <c r="I2" s="6"/>
    </row>
    <row r="3" spans="2:45" ht="19.5" x14ac:dyDescent="0.3">
      <c r="B3" s="2" t="s">
        <v>3</v>
      </c>
      <c r="C3" s="8" t="s">
        <v>2</v>
      </c>
      <c r="D3" s="2" t="s">
        <v>4</v>
      </c>
      <c r="E3" s="18" t="s">
        <v>5</v>
      </c>
      <c r="F3" s="2" t="s">
        <v>7</v>
      </c>
      <c r="G3" s="5" t="s">
        <v>8</v>
      </c>
      <c r="H3" s="3" t="s">
        <v>1</v>
      </c>
      <c r="I3" s="5" t="s">
        <v>6</v>
      </c>
      <c r="J3" s="24" t="s">
        <v>10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</row>
    <row r="4" spans="2:45" x14ac:dyDescent="0.25">
      <c r="B4" s="9" t="s">
        <v>11</v>
      </c>
      <c r="C4" s="9" t="s">
        <v>12</v>
      </c>
      <c r="D4" s="9"/>
      <c r="E4" s="19">
        <v>46133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/>
      <c r="J4" s="21">
        <v>1</v>
      </c>
    </row>
    <row r="5" spans="2:45" x14ac:dyDescent="0.25">
      <c r="B5" s="9" t="s">
        <v>11</v>
      </c>
      <c r="C5" s="9" t="s">
        <v>13</v>
      </c>
      <c r="D5" s="9"/>
      <c r="E5" s="19">
        <v>46133</v>
      </c>
      <c r="F5" s="9" t="s">
        <v>9</v>
      </c>
      <c r="G5" s="10">
        <v>1</v>
      </c>
      <c r="H5" s="11">
        <f t="shared" ref="H5:H49" si="0">--(G5&gt;=1)</f>
        <v>1</v>
      </c>
      <c r="I5" s="9"/>
      <c r="J5" s="21">
        <v>1</v>
      </c>
    </row>
    <row r="6" spans="2:45" x14ac:dyDescent="0.25">
      <c r="B6" s="9" t="s">
        <v>11</v>
      </c>
      <c r="C6" s="14" t="s">
        <v>14</v>
      </c>
      <c r="D6" s="9"/>
      <c r="E6" s="19">
        <v>46133</v>
      </c>
      <c r="F6" s="9" t="str">
        <f t="shared" ref="F6:F26" si="1">IF(G6=1,"Complete",IF(G6&lt;&gt;0,"In Progess","Not Started"))</f>
        <v>Complete</v>
      </c>
      <c r="G6" s="10">
        <v>1</v>
      </c>
      <c r="H6" s="11">
        <f t="shared" si="0"/>
        <v>1</v>
      </c>
      <c r="I6" s="9"/>
      <c r="J6" s="21">
        <v>1</v>
      </c>
    </row>
    <row r="7" spans="2:45" x14ac:dyDescent="0.25">
      <c r="B7" s="9" t="s">
        <v>11</v>
      </c>
      <c r="C7" s="15" t="s">
        <v>15</v>
      </c>
      <c r="D7" s="9"/>
      <c r="E7" s="19">
        <v>46133</v>
      </c>
      <c r="F7" s="9" t="str">
        <f t="shared" si="1"/>
        <v>Complete</v>
      </c>
      <c r="G7" s="10">
        <v>1</v>
      </c>
      <c r="H7" s="11">
        <f t="shared" si="0"/>
        <v>1</v>
      </c>
      <c r="I7" s="9"/>
      <c r="J7" s="21">
        <v>1</v>
      </c>
    </row>
    <row r="8" spans="2:45" x14ac:dyDescent="0.25">
      <c r="B8" s="9" t="s">
        <v>11</v>
      </c>
      <c r="C8" s="15" t="s">
        <v>16</v>
      </c>
      <c r="D8" s="9"/>
      <c r="E8" s="19">
        <v>46133</v>
      </c>
      <c r="F8" s="9" t="str">
        <f t="shared" si="1"/>
        <v>Complete</v>
      </c>
      <c r="G8" s="10">
        <v>1</v>
      </c>
      <c r="H8" s="11">
        <f t="shared" si="0"/>
        <v>1</v>
      </c>
      <c r="I8" s="9"/>
      <c r="J8" s="21">
        <v>1</v>
      </c>
    </row>
    <row r="9" spans="2:45" x14ac:dyDescent="0.25">
      <c r="B9" s="9" t="s">
        <v>11</v>
      </c>
      <c r="C9" s="9" t="s">
        <v>17</v>
      </c>
      <c r="D9" s="9"/>
      <c r="E9" s="19">
        <v>46133</v>
      </c>
      <c r="F9" s="9" t="s">
        <v>9</v>
      </c>
      <c r="G9" s="10">
        <v>1</v>
      </c>
      <c r="H9" s="11">
        <f t="shared" si="0"/>
        <v>1</v>
      </c>
      <c r="I9" s="9"/>
      <c r="J9" s="21">
        <v>1</v>
      </c>
    </row>
    <row r="10" spans="2:45" x14ac:dyDescent="0.25">
      <c r="B10" s="9" t="s">
        <v>11</v>
      </c>
      <c r="C10" s="9" t="s">
        <v>18</v>
      </c>
      <c r="D10" s="9"/>
      <c r="E10" s="19">
        <v>46133</v>
      </c>
      <c r="F10" s="9" t="str">
        <f t="shared" si="1"/>
        <v>Complete</v>
      </c>
      <c r="G10" s="10">
        <v>1</v>
      </c>
      <c r="H10" s="11">
        <f t="shared" si="0"/>
        <v>1</v>
      </c>
      <c r="I10" s="9"/>
      <c r="J10" s="21">
        <v>1</v>
      </c>
    </row>
    <row r="11" spans="2:45" x14ac:dyDescent="0.25">
      <c r="B11" s="9" t="s">
        <v>11</v>
      </c>
      <c r="C11" s="15" t="s">
        <v>19</v>
      </c>
      <c r="D11" s="9"/>
      <c r="E11" s="19">
        <v>46133</v>
      </c>
      <c r="F11" s="9" t="str">
        <f t="shared" si="1"/>
        <v>Complete</v>
      </c>
      <c r="G11" s="10">
        <v>1</v>
      </c>
      <c r="H11" s="11">
        <f t="shared" si="0"/>
        <v>1</v>
      </c>
      <c r="I11" s="9"/>
      <c r="J11" s="21">
        <v>1</v>
      </c>
    </row>
    <row r="12" spans="2:45" x14ac:dyDescent="0.25">
      <c r="B12" s="9" t="s">
        <v>11</v>
      </c>
      <c r="C12" s="15" t="s">
        <v>20</v>
      </c>
      <c r="D12" s="9"/>
      <c r="E12" s="19">
        <v>46133</v>
      </c>
      <c r="F12" s="9" t="str">
        <f t="shared" si="1"/>
        <v>Complete</v>
      </c>
      <c r="G12" s="10">
        <v>1</v>
      </c>
      <c r="H12" s="11">
        <f t="shared" si="0"/>
        <v>1</v>
      </c>
      <c r="I12" s="9"/>
      <c r="J12" s="21">
        <v>1</v>
      </c>
    </row>
    <row r="13" spans="2:45" x14ac:dyDescent="0.25">
      <c r="B13" s="9" t="s">
        <v>11</v>
      </c>
      <c r="C13" s="9" t="s">
        <v>21</v>
      </c>
      <c r="D13" s="9"/>
      <c r="E13" s="19">
        <v>46133</v>
      </c>
      <c r="F13" s="9" t="s">
        <v>9</v>
      </c>
      <c r="G13" s="10">
        <v>1</v>
      </c>
      <c r="H13" s="11">
        <f t="shared" si="0"/>
        <v>1</v>
      </c>
      <c r="I13" s="9"/>
      <c r="J13" s="21">
        <v>1</v>
      </c>
    </row>
    <row r="14" spans="2:45" x14ac:dyDescent="0.25">
      <c r="B14" s="9" t="s">
        <v>11</v>
      </c>
      <c r="C14" s="9" t="s">
        <v>22</v>
      </c>
      <c r="D14" s="9"/>
      <c r="E14" s="19">
        <v>46133</v>
      </c>
      <c r="F14" s="9" t="str">
        <f t="shared" si="1"/>
        <v>Complete</v>
      </c>
      <c r="G14" s="10">
        <v>1</v>
      </c>
      <c r="H14" s="11">
        <f t="shared" si="0"/>
        <v>1</v>
      </c>
      <c r="I14" s="9"/>
      <c r="J14" s="21">
        <v>1</v>
      </c>
    </row>
    <row r="15" spans="2:45" x14ac:dyDescent="0.25">
      <c r="B15" s="9" t="s">
        <v>11</v>
      </c>
      <c r="C15" s="9" t="s">
        <v>23</v>
      </c>
      <c r="D15" s="9"/>
      <c r="E15" s="19">
        <v>46133</v>
      </c>
      <c r="F15" s="9" t="str">
        <f t="shared" si="1"/>
        <v>Complete</v>
      </c>
      <c r="G15" s="10">
        <v>1</v>
      </c>
      <c r="H15" s="11">
        <f t="shared" si="0"/>
        <v>1</v>
      </c>
      <c r="I15" s="9"/>
      <c r="J15" s="21">
        <v>1</v>
      </c>
    </row>
    <row r="16" spans="2:45" x14ac:dyDescent="0.25">
      <c r="B16" s="9" t="s">
        <v>11</v>
      </c>
      <c r="C16" s="9" t="s">
        <v>24</v>
      </c>
      <c r="D16" s="9"/>
      <c r="E16" s="19">
        <v>46133</v>
      </c>
      <c r="F16" s="9" t="s">
        <v>87</v>
      </c>
      <c r="G16" s="10"/>
      <c r="H16" s="11">
        <f t="shared" si="0"/>
        <v>0</v>
      </c>
      <c r="I16" s="6"/>
    </row>
    <row r="17" spans="2:10" ht="17.25" customHeight="1" x14ac:dyDescent="0.25">
      <c r="B17" s="9" t="s">
        <v>11</v>
      </c>
      <c r="C17" s="9" t="s">
        <v>25</v>
      </c>
      <c r="D17" s="9"/>
      <c r="E17" s="19">
        <v>46133</v>
      </c>
      <c r="F17" s="9" t="s">
        <v>87</v>
      </c>
      <c r="G17" s="10"/>
      <c r="H17" s="11">
        <f t="shared" si="0"/>
        <v>0</v>
      </c>
      <c r="I17" s="6"/>
    </row>
    <row r="18" spans="2:10" x14ac:dyDescent="0.25">
      <c r="B18" s="9" t="s">
        <v>11</v>
      </c>
      <c r="C18" s="9" t="s">
        <v>26</v>
      </c>
      <c r="D18" s="9"/>
      <c r="E18" s="19">
        <v>46133</v>
      </c>
      <c r="F18" s="9" t="s">
        <v>87</v>
      </c>
      <c r="G18" s="10"/>
      <c r="H18" s="11">
        <f t="shared" si="0"/>
        <v>0</v>
      </c>
    </row>
    <row r="19" spans="2:10" ht="45" x14ac:dyDescent="0.25">
      <c r="B19" s="9" t="s">
        <v>11</v>
      </c>
      <c r="C19" s="9" t="s">
        <v>27</v>
      </c>
      <c r="D19" s="9" t="s">
        <v>169</v>
      </c>
      <c r="E19" s="19">
        <v>46133</v>
      </c>
      <c r="F19" s="9" t="s">
        <v>9</v>
      </c>
      <c r="G19" s="10">
        <v>1</v>
      </c>
      <c r="H19" s="11">
        <f t="shared" si="0"/>
        <v>1</v>
      </c>
      <c r="I19" s="6" t="s">
        <v>88</v>
      </c>
      <c r="J19" s="21">
        <v>1</v>
      </c>
    </row>
    <row r="20" spans="2:10" x14ac:dyDescent="0.25">
      <c r="B20" s="9" t="s">
        <v>11</v>
      </c>
      <c r="C20" s="9" t="s">
        <v>89</v>
      </c>
      <c r="D20" s="9" t="s">
        <v>169</v>
      </c>
      <c r="E20" s="19">
        <v>46133</v>
      </c>
      <c r="F20" s="9" t="s">
        <v>9</v>
      </c>
      <c r="G20" s="10">
        <v>1</v>
      </c>
      <c r="H20" s="11">
        <f t="shared" si="0"/>
        <v>1</v>
      </c>
      <c r="I20" s="6" t="s">
        <v>90</v>
      </c>
      <c r="J20" s="21">
        <v>1</v>
      </c>
    </row>
    <row r="21" spans="2:10" x14ac:dyDescent="0.25">
      <c r="B21" s="9" t="s">
        <v>11</v>
      </c>
      <c r="C21" s="9" t="s">
        <v>28</v>
      </c>
      <c r="D21" s="9"/>
      <c r="E21" s="19">
        <v>46133</v>
      </c>
      <c r="F21" s="9" t="str">
        <f t="shared" si="1"/>
        <v>Complete</v>
      </c>
      <c r="G21" s="10">
        <v>1</v>
      </c>
      <c r="H21" s="11">
        <f t="shared" si="0"/>
        <v>1</v>
      </c>
      <c r="I21" s="6"/>
      <c r="J21" s="21">
        <v>1</v>
      </c>
    </row>
    <row r="22" spans="2:10" ht="17.25" customHeight="1" x14ac:dyDescent="0.25">
      <c r="B22" s="9" t="s">
        <v>11</v>
      </c>
      <c r="C22" s="9" t="s">
        <v>29</v>
      </c>
      <c r="D22" s="9"/>
      <c r="E22" s="19">
        <v>46133</v>
      </c>
      <c r="F22" s="9" t="str">
        <f t="shared" si="1"/>
        <v>Complete</v>
      </c>
      <c r="G22" s="10">
        <v>1</v>
      </c>
      <c r="H22" s="11">
        <f t="shared" si="0"/>
        <v>1</v>
      </c>
      <c r="J22" s="21">
        <v>1</v>
      </c>
    </row>
    <row r="23" spans="2:10" x14ac:dyDescent="0.25">
      <c r="B23" s="9" t="s">
        <v>11</v>
      </c>
      <c r="C23" s="9" t="s">
        <v>30</v>
      </c>
      <c r="D23" s="9"/>
      <c r="E23" s="19">
        <v>46133</v>
      </c>
      <c r="F23" s="9" t="str">
        <f t="shared" si="1"/>
        <v>Complete</v>
      </c>
      <c r="G23" s="10">
        <v>1</v>
      </c>
      <c r="H23" s="11">
        <f t="shared" si="0"/>
        <v>1</v>
      </c>
      <c r="J23" s="21">
        <v>1</v>
      </c>
    </row>
    <row r="24" spans="2:10" x14ac:dyDescent="0.25">
      <c r="B24" s="9" t="s">
        <v>86</v>
      </c>
      <c r="C24" s="9" t="s">
        <v>31</v>
      </c>
      <c r="D24" s="9"/>
      <c r="E24" s="19">
        <v>46133</v>
      </c>
      <c r="F24" s="9" t="str">
        <f t="shared" si="1"/>
        <v>Complete</v>
      </c>
      <c r="G24" s="10">
        <v>1</v>
      </c>
      <c r="H24" s="11">
        <f t="shared" si="0"/>
        <v>1</v>
      </c>
      <c r="J24" s="21">
        <v>1</v>
      </c>
    </row>
    <row r="25" spans="2:10" x14ac:dyDescent="0.25">
      <c r="B25" s="9" t="s">
        <v>86</v>
      </c>
      <c r="C25" s="9" t="s">
        <v>32</v>
      </c>
      <c r="D25" s="9"/>
      <c r="E25" s="19">
        <v>46133</v>
      </c>
      <c r="F25" s="9" t="str">
        <f t="shared" si="1"/>
        <v>Complete</v>
      </c>
      <c r="G25" s="10">
        <v>1</v>
      </c>
      <c r="H25" s="11">
        <f t="shared" si="0"/>
        <v>1</v>
      </c>
      <c r="I25" s="6"/>
      <c r="J25" s="21">
        <v>1</v>
      </c>
    </row>
    <row r="26" spans="2:10" x14ac:dyDescent="0.25">
      <c r="B26" s="9" t="s">
        <v>47</v>
      </c>
      <c r="C26" s="9" t="s">
        <v>33</v>
      </c>
      <c r="D26" s="9"/>
      <c r="E26" s="19">
        <v>46161</v>
      </c>
      <c r="F26" s="9" t="str">
        <f t="shared" si="1"/>
        <v>Complete</v>
      </c>
      <c r="G26" s="10">
        <v>1</v>
      </c>
      <c r="H26" s="11">
        <f t="shared" si="0"/>
        <v>1</v>
      </c>
      <c r="I26" s="9" t="s">
        <v>94</v>
      </c>
      <c r="J26" s="21">
        <v>1</v>
      </c>
    </row>
    <row r="27" spans="2:10" x14ac:dyDescent="0.25">
      <c r="B27" s="9" t="s">
        <v>47</v>
      </c>
      <c r="C27" s="9" t="s">
        <v>34</v>
      </c>
      <c r="D27" s="12"/>
      <c r="E27" s="19">
        <v>46161</v>
      </c>
      <c r="F27" s="9" t="s">
        <v>91</v>
      </c>
      <c r="G27" s="10">
        <v>0.15</v>
      </c>
      <c r="H27" s="11">
        <f t="shared" si="0"/>
        <v>0</v>
      </c>
      <c r="I27" s="9" t="s">
        <v>93</v>
      </c>
      <c r="J27" s="21">
        <v>0.15</v>
      </c>
    </row>
    <row r="28" spans="2:10" x14ac:dyDescent="0.25">
      <c r="B28" s="9" t="s">
        <v>47</v>
      </c>
      <c r="C28" s="9" t="s">
        <v>35</v>
      </c>
      <c r="D28" s="9"/>
      <c r="E28" s="19">
        <v>46161</v>
      </c>
      <c r="F28" s="9" t="s">
        <v>91</v>
      </c>
      <c r="G28" s="10">
        <v>0.15</v>
      </c>
      <c r="H28" s="11">
        <f t="shared" si="0"/>
        <v>0</v>
      </c>
      <c r="I28" s="9" t="s">
        <v>93</v>
      </c>
      <c r="J28" s="21">
        <v>0.15</v>
      </c>
    </row>
    <row r="29" spans="2:10" x14ac:dyDescent="0.25">
      <c r="B29" s="9" t="s">
        <v>86</v>
      </c>
      <c r="C29" s="9" t="s">
        <v>36</v>
      </c>
      <c r="D29" s="12" t="s">
        <v>166</v>
      </c>
      <c r="E29" s="19">
        <v>46161</v>
      </c>
      <c r="F29" s="9" t="s">
        <v>92</v>
      </c>
      <c r="G29" s="10">
        <v>0</v>
      </c>
      <c r="H29" s="11">
        <f t="shared" si="0"/>
        <v>0</v>
      </c>
      <c r="I29" s="9"/>
      <c r="J29" s="21">
        <v>0</v>
      </c>
    </row>
    <row r="30" spans="2:10" x14ac:dyDescent="0.25">
      <c r="B30" s="9" t="s">
        <v>86</v>
      </c>
      <c r="C30" s="9" t="s">
        <v>37</v>
      </c>
      <c r="D30" s="12" t="s">
        <v>166</v>
      </c>
      <c r="E30" s="19">
        <v>46161</v>
      </c>
      <c r="F30" s="9" t="s">
        <v>92</v>
      </c>
      <c r="G30" s="10">
        <v>0</v>
      </c>
      <c r="H30" s="11">
        <f t="shared" si="0"/>
        <v>0</v>
      </c>
      <c r="J30" s="21">
        <v>0</v>
      </c>
    </row>
    <row r="31" spans="2:10" x14ac:dyDescent="0.25">
      <c r="B31" s="9" t="s">
        <v>86</v>
      </c>
      <c r="C31" s="9" t="s">
        <v>38</v>
      </c>
      <c r="D31" s="12" t="s">
        <v>166</v>
      </c>
      <c r="E31" s="19">
        <v>46161</v>
      </c>
      <c r="F31" s="9" t="s">
        <v>92</v>
      </c>
      <c r="G31" s="10">
        <v>0</v>
      </c>
      <c r="H31" s="11">
        <f t="shared" si="0"/>
        <v>0</v>
      </c>
      <c r="I31" s="9"/>
      <c r="J31" s="21">
        <v>0</v>
      </c>
    </row>
    <row r="32" spans="2:10" x14ac:dyDescent="0.25">
      <c r="B32" s="9" t="s">
        <v>86</v>
      </c>
      <c r="C32" s="9" t="s">
        <v>39</v>
      </c>
      <c r="D32" s="12" t="s">
        <v>166</v>
      </c>
      <c r="E32" s="19">
        <v>46161</v>
      </c>
      <c r="F32" s="9" t="s">
        <v>92</v>
      </c>
      <c r="G32" s="10">
        <v>0</v>
      </c>
      <c r="H32" s="11">
        <f t="shared" si="0"/>
        <v>0</v>
      </c>
      <c r="I32" s="9"/>
      <c r="J32" s="21">
        <v>0</v>
      </c>
    </row>
    <row r="33" spans="2:10" x14ac:dyDescent="0.25">
      <c r="B33" s="9" t="s">
        <v>86</v>
      </c>
      <c r="C33" s="9" t="s">
        <v>40</v>
      </c>
      <c r="D33" s="12" t="s">
        <v>166</v>
      </c>
      <c r="E33" s="19">
        <v>46161</v>
      </c>
      <c r="F33" s="9" t="s">
        <v>92</v>
      </c>
      <c r="G33" s="10">
        <v>0</v>
      </c>
      <c r="H33" s="11">
        <f t="shared" si="0"/>
        <v>0</v>
      </c>
      <c r="I33" s="9"/>
      <c r="J33" s="21">
        <v>0</v>
      </c>
    </row>
    <row r="34" spans="2:10" x14ac:dyDescent="0.25">
      <c r="B34" s="9" t="s">
        <v>86</v>
      </c>
      <c r="C34" s="9" t="s">
        <v>41</v>
      </c>
      <c r="D34" s="12" t="s">
        <v>166</v>
      </c>
      <c r="E34" s="19">
        <v>46161</v>
      </c>
      <c r="F34" s="9" t="s">
        <v>92</v>
      </c>
      <c r="G34" s="10">
        <v>0</v>
      </c>
      <c r="H34" s="11">
        <f t="shared" si="0"/>
        <v>0</v>
      </c>
      <c r="I34" s="9"/>
      <c r="J34" s="21">
        <v>0</v>
      </c>
    </row>
    <row r="35" spans="2:10" x14ac:dyDescent="0.25">
      <c r="B35" s="9" t="s">
        <v>86</v>
      </c>
      <c r="C35" s="9" t="s">
        <v>42</v>
      </c>
      <c r="D35" s="12" t="s">
        <v>166</v>
      </c>
      <c r="E35" s="19">
        <v>46161</v>
      </c>
      <c r="F35" s="9" t="s">
        <v>92</v>
      </c>
      <c r="G35" s="10">
        <v>0</v>
      </c>
      <c r="H35" s="11">
        <f t="shared" si="0"/>
        <v>0</v>
      </c>
      <c r="I35" s="9"/>
      <c r="J35" s="21">
        <v>0</v>
      </c>
    </row>
    <row r="36" spans="2:10" x14ac:dyDescent="0.25">
      <c r="B36" s="9" t="s">
        <v>86</v>
      </c>
      <c r="C36" s="9" t="s">
        <v>43</v>
      </c>
      <c r="D36" s="12" t="s">
        <v>166</v>
      </c>
      <c r="E36" s="19">
        <v>46161</v>
      </c>
      <c r="F36" s="9" t="s">
        <v>92</v>
      </c>
      <c r="G36" s="10">
        <v>0</v>
      </c>
      <c r="H36" s="11">
        <f t="shared" si="0"/>
        <v>0</v>
      </c>
      <c r="I36" s="9"/>
      <c r="J36" s="21">
        <v>0</v>
      </c>
    </row>
    <row r="37" spans="2:10" x14ac:dyDescent="0.25">
      <c r="B37" s="9" t="s">
        <v>86</v>
      </c>
      <c r="C37" s="9" t="s">
        <v>44</v>
      </c>
      <c r="D37" s="12" t="s">
        <v>166</v>
      </c>
      <c r="E37" s="19">
        <v>46161</v>
      </c>
      <c r="F37" s="9" t="s">
        <v>92</v>
      </c>
      <c r="G37" s="10">
        <v>0</v>
      </c>
      <c r="H37" s="11">
        <f t="shared" si="0"/>
        <v>0</v>
      </c>
      <c r="I37" s="9"/>
      <c r="J37" s="21">
        <v>0</v>
      </c>
    </row>
    <row r="38" spans="2:10" x14ac:dyDescent="0.25">
      <c r="B38" s="9" t="s">
        <v>86</v>
      </c>
      <c r="C38" s="9" t="s">
        <v>45</v>
      </c>
      <c r="D38" s="12" t="s">
        <v>166</v>
      </c>
      <c r="E38" s="19">
        <v>46161</v>
      </c>
      <c r="F38" s="9" t="s">
        <v>92</v>
      </c>
      <c r="G38" s="10">
        <v>0</v>
      </c>
      <c r="H38" s="11">
        <f t="shared" si="0"/>
        <v>0</v>
      </c>
      <c r="I38" s="9"/>
      <c r="J38" s="21">
        <v>0</v>
      </c>
    </row>
    <row r="39" spans="2:10" x14ac:dyDescent="0.25">
      <c r="B39" s="9" t="s">
        <v>86</v>
      </c>
      <c r="C39" s="9" t="s">
        <v>46</v>
      </c>
      <c r="D39" s="12" t="s">
        <v>166</v>
      </c>
      <c r="E39" s="19">
        <v>46161</v>
      </c>
      <c r="F39" s="9" t="s">
        <v>92</v>
      </c>
      <c r="G39" s="10">
        <v>0</v>
      </c>
      <c r="H39" s="11">
        <f t="shared" si="0"/>
        <v>0</v>
      </c>
      <c r="I39" s="9"/>
      <c r="J39" s="21">
        <v>0</v>
      </c>
    </row>
    <row r="40" spans="2:10" x14ac:dyDescent="0.25">
      <c r="B40" s="9" t="s">
        <v>95</v>
      </c>
      <c r="C40" s="9" t="s">
        <v>96</v>
      </c>
      <c r="D40" s="9"/>
      <c r="E40" s="19">
        <v>46133</v>
      </c>
      <c r="F40" s="9" t="s">
        <v>92</v>
      </c>
      <c r="G40" s="10">
        <v>0</v>
      </c>
      <c r="H40" s="11">
        <f t="shared" ref="H40" si="2">--(G40&gt;=1)</f>
        <v>0</v>
      </c>
      <c r="I40" s="9"/>
      <c r="J40" s="21">
        <v>0</v>
      </c>
    </row>
    <row r="41" spans="2:10" x14ac:dyDescent="0.25">
      <c r="B41" s="9" t="s">
        <v>97</v>
      </c>
      <c r="C41" s="9" t="s">
        <v>98</v>
      </c>
      <c r="D41" s="12"/>
      <c r="E41" s="19">
        <v>46133</v>
      </c>
      <c r="F41" s="9" t="str">
        <f t="shared" ref="F41:F44" si="3">IF(G41=1,"Complete",IF(G41&lt;&gt;0,"In Progess","Not Started"))</f>
        <v>Complete</v>
      </c>
      <c r="G41" s="10">
        <v>1</v>
      </c>
      <c r="H41" s="11">
        <f t="shared" si="0"/>
        <v>1</v>
      </c>
      <c r="I41" s="9"/>
      <c r="J41" s="21">
        <v>1</v>
      </c>
    </row>
    <row r="42" spans="2:10" x14ac:dyDescent="0.25">
      <c r="B42" s="9" t="s">
        <v>97</v>
      </c>
      <c r="C42" s="9" t="s">
        <v>99</v>
      </c>
      <c r="D42" s="7"/>
      <c r="E42" s="19">
        <v>46133</v>
      </c>
      <c r="F42" s="9" t="str">
        <f t="shared" si="3"/>
        <v>Complete</v>
      </c>
      <c r="G42" s="10">
        <v>1</v>
      </c>
      <c r="H42" s="11">
        <f t="shared" si="0"/>
        <v>1</v>
      </c>
      <c r="I42" s="9"/>
      <c r="J42" s="21">
        <v>1</v>
      </c>
    </row>
    <row r="43" spans="2:10" x14ac:dyDescent="0.25">
      <c r="B43" s="9" t="s">
        <v>97</v>
      </c>
      <c r="C43" s="9" t="s">
        <v>100</v>
      </c>
      <c r="D43" s="7"/>
      <c r="E43" s="19">
        <v>46133</v>
      </c>
      <c r="F43" s="9" t="str">
        <f t="shared" si="3"/>
        <v>Complete</v>
      </c>
      <c r="G43" s="10">
        <v>1</v>
      </c>
      <c r="H43" s="11">
        <f t="shared" si="0"/>
        <v>1</v>
      </c>
      <c r="I43" s="9"/>
      <c r="J43" s="21">
        <v>1</v>
      </c>
    </row>
    <row r="44" spans="2:10" x14ac:dyDescent="0.25">
      <c r="B44" s="9" t="s">
        <v>97</v>
      </c>
      <c r="C44" s="9" t="s">
        <v>101</v>
      </c>
      <c r="D44" s="12"/>
      <c r="E44" s="19">
        <v>46133</v>
      </c>
      <c r="F44" s="9" t="str">
        <f t="shared" si="3"/>
        <v>Complete</v>
      </c>
      <c r="G44" s="13">
        <v>1</v>
      </c>
      <c r="H44" s="11">
        <f t="shared" si="0"/>
        <v>1</v>
      </c>
      <c r="I44" s="9"/>
      <c r="J44" s="21">
        <v>1</v>
      </c>
    </row>
    <row r="45" spans="2:10" ht="30" x14ac:dyDescent="0.25">
      <c r="B45" s="9" t="s">
        <v>170</v>
      </c>
      <c r="C45" s="9" t="s">
        <v>171</v>
      </c>
      <c r="D45" t="s">
        <v>172</v>
      </c>
      <c r="E45" s="19">
        <v>46198</v>
      </c>
      <c r="F45" s="6" t="s">
        <v>9</v>
      </c>
      <c r="G45" s="22">
        <v>1</v>
      </c>
      <c r="H45" s="23">
        <f t="shared" si="0"/>
        <v>1</v>
      </c>
      <c r="J45" s="21">
        <v>1</v>
      </c>
    </row>
    <row r="46" spans="2:10" x14ac:dyDescent="0.25">
      <c r="B46" s="7" t="s">
        <v>102</v>
      </c>
      <c r="C46" s="9" t="s">
        <v>156</v>
      </c>
      <c r="D46" s="12"/>
      <c r="E46" s="19">
        <v>46161</v>
      </c>
      <c r="F46" s="9" t="s">
        <v>91</v>
      </c>
      <c r="G46" s="13">
        <v>0.15</v>
      </c>
      <c r="H46" s="11">
        <f t="shared" si="0"/>
        <v>0</v>
      </c>
      <c r="I46" s="9"/>
      <c r="J46" s="21">
        <v>0.15</v>
      </c>
    </row>
    <row r="47" spans="2:10" x14ac:dyDescent="0.25">
      <c r="B47" s="9" t="s">
        <v>153</v>
      </c>
      <c r="C47" s="9" t="s">
        <v>157</v>
      </c>
      <c r="D47" s="12"/>
      <c r="E47" s="19">
        <v>46161</v>
      </c>
      <c r="F47" s="9" t="s">
        <v>92</v>
      </c>
      <c r="G47" s="13">
        <v>0</v>
      </c>
      <c r="H47" s="11">
        <f t="shared" si="0"/>
        <v>0</v>
      </c>
      <c r="I47" s="9"/>
      <c r="J47" s="21">
        <v>0</v>
      </c>
    </row>
    <row r="48" spans="2:10" ht="30" x14ac:dyDescent="0.25">
      <c r="B48" s="9" t="s">
        <v>154</v>
      </c>
      <c r="C48" s="9" t="s">
        <v>155</v>
      </c>
      <c r="E48" s="19">
        <v>46161</v>
      </c>
      <c r="F48" s="9" t="s">
        <v>91</v>
      </c>
      <c r="G48" s="22">
        <v>0.1</v>
      </c>
      <c r="H48" s="23">
        <f t="shared" si="0"/>
        <v>0</v>
      </c>
      <c r="J48" s="21">
        <v>0.1</v>
      </c>
    </row>
    <row r="49" spans="2:10" x14ac:dyDescent="0.25">
      <c r="B49" s="9" t="s">
        <v>158</v>
      </c>
      <c r="C49" s="9" t="s">
        <v>160</v>
      </c>
      <c r="E49" s="19">
        <v>46198</v>
      </c>
      <c r="F49" s="9" t="s">
        <v>92</v>
      </c>
      <c r="G49" s="22">
        <v>0</v>
      </c>
      <c r="H49" s="23">
        <f t="shared" si="0"/>
        <v>0</v>
      </c>
      <c r="J49" s="21">
        <v>0</v>
      </c>
    </row>
    <row r="50" spans="2:10" x14ac:dyDescent="0.25">
      <c r="B50" s="9" t="s">
        <v>158</v>
      </c>
      <c r="C50" s="9" t="s">
        <v>161</v>
      </c>
      <c r="E50" s="19">
        <v>46198</v>
      </c>
      <c r="F50" s="9" t="s">
        <v>92</v>
      </c>
      <c r="G50" s="22">
        <v>0</v>
      </c>
      <c r="H50" s="23">
        <f t="shared" ref="H50" si="4">--(G50&gt;=1)</f>
        <v>0</v>
      </c>
      <c r="J50" s="21">
        <v>0</v>
      </c>
    </row>
    <row r="51" spans="2:10" x14ac:dyDescent="0.25">
      <c r="B51" s="9" t="s">
        <v>158</v>
      </c>
      <c r="C51" s="9" t="s">
        <v>164</v>
      </c>
      <c r="E51" s="19">
        <v>46198</v>
      </c>
      <c r="F51" s="9" t="s">
        <v>92</v>
      </c>
      <c r="G51" s="22">
        <v>0</v>
      </c>
      <c r="H51" s="23">
        <f t="shared" ref="H51:H52" si="5">--(G51&gt;=1)</f>
        <v>0</v>
      </c>
      <c r="J51" s="21">
        <v>0</v>
      </c>
    </row>
    <row r="52" spans="2:10" x14ac:dyDescent="0.25">
      <c r="B52" s="9" t="s">
        <v>162</v>
      </c>
      <c r="C52" s="9" t="s">
        <v>163</v>
      </c>
      <c r="E52" s="19">
        <v>46198</v>
      </c>
      <c r="F52" s="9" t="s">
        <v>92</v>
      </c>
      <c r="G52" s="22">
        <v>0</v>
      </c>
      <c r="H52" s="23">
        <f t="shared" si="5"/>
        <v>0</v>
      </c>
      <c r="J52" s="21">
        <v>0</v>
      </c>
    </row>
    <row r="53" spans="2:10" ht="30" x14ac:dyDescent="0.25">
      <c r="B53" s="9" t="s">
        <v>159</v>
      </c>
      <c r="C53" s="9" t="s">
        <v>165</v>
      </c>
      <c r="E53" s="19">
        <v>46198</v>
      </c>
      <c r="F53" s="9" t="s">
        <v>92</v>
      </c>
      <c r="G53" s="22">
        <v>0</v>
      </c>
      <c r="H53" s="23">
        <f t="shared" ref="H53:H54" si="6">--(G53&gt;=1)</f>
        <v>0</v>
      </c>
      <c r="J53" s="21">
        <v>0</v>
      </c>
    </row>
    <row r="54" spans="2:10" ht="30" x14ac:dyDescent="0.25">
      <c r="B54" s="9" t="s">
        <v>167</v>
      </c>
      <c r="C54" s="9" t="s">
        <v>168</v>
      </c>
      <c r="E54" s="19">
        <v>46198</v>
      </c>
      <c r="F54" s="6" t="s">
        <v>92</v>
      </c>
      <c r="G54" s="22">
        <v>0</v>
      </c>
      <c r="H54" s="23">
        <f t="shared" si="6"/>
        <v>0</v>
      </c>
      <c r="J54" s="21">
        <v>0</v>
      </c>
    </row>
  </sheetData>
  <autoFilter ref="B3:AS47" xr:uid="{825F216F-6A2C-43F0-976D-4459909E096A}"/>
  <conditionalFormatting sqref="G4:G54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6" xr:uid="{90892BC2-20A5-4151-9864-7558336C2FE7}">
      <formula1>"Not Started, In Progress, Deferred, Complete"</formula1>
    </dataValidation>
    <dataValidation type="list" allowBlank="1" showInputMessage="1" showErrorMessage="1" sqref="F7:F54" xr:uid="{6E270193-BC92-45F5-BF7F-52289D6B0587}">
      <formula1>"Not Started, In Progress, Deferred, Complete,Not Required"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G4:G54</xm:sqref>
        </x14:conditionalFormatting>
        <x14:conditionalFormatting xmlns:xm="http://schemas.microsoft.com/office/excel/2006/main">
          <x14:cfRule type="iconSet" priority="25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6A-A34E-4020-B195-EB8113DACDFE}">
  <dimension ref="A1:D21"/>
  <sheetViews>
    <sheetView workbookViewId="0">
      <selection activeCell="D16" sqref="D16:D21"/>
    </sheetView>
  </sheetViews>
  <sheetFormatPr defaultRowHeight="15" x14ac:dyDescent="0.25"/>
  <cols>
    <col min="2" max="2" width="15.85546875" customWidth="1"/>
    <col min="3" max="3" width="126" customWidth="1"/>
  </cols>
  <sheetData>
    <row r="1" spans="1:4" x14ac:dyDescent="0.25">
      <c r="A1" t="s">
        <v>103</v>
      </c>
      <c r="B1" t="s">
        <v>104</v>
      </c>
      <c r="C1" t="s">
        <v>105</v>
      </c>
      <c r="D1" t="s">
        <v>106</v>
      </c>
    </row>
    <row r="2" spans="1:4" x14ac:dyDescent="0.25">
      <c r="A2" t="s">
        <v>107</v>
      </c>
      <c r="B2" t="s">
        <v>108</v>
      </c>
      <c r="C2" t="s">
        <v>109</v>
      </c>
      <c r="D2" t="s">
        <v>110</v>
      </c>
    </row>
    <row r="3" spans="1:4" x14ac:dyDescent="0.25">
      <c r="A3" t="s">
        <v>111</v>
      </c>
      <c r="B3" t="s">
        <v>108</v>
      </c>
      <c r="C3" t="s">
        <v>112</v>
      </c>
      <c r="D3" t="s">
        <v>113</v>
      </c>
    </row>
    <row r="4" spans="1:4" x14ac:dyDescent="0.25">
      <c r="A4" t="s">
        <v>114</v>
      </c>
      <c r="B4" t="s">
        <v>108</v>
      </c>
      <c r="C4" t="s">
        <v>115</v>
      </c>
      <c r="D4" t="s">
        <v>113</v>
      </c>
    </row>
    <row r="5" spans="1:4" x14ac:dyDescent="0.25">
      <c r="A5" t="s">
        <v>116</v>
      </c>
      <c r="B5" t="s">
        <v>108</v>
      </c>
      <c r="C5" t="s">
        <v>117</v>
      </c>
      <c r="D5" t="s">
        <v>113</v>
      </c>
    </row>
    <row r="6" spans="1:4" x14ac:dyDescent="0.25">
      <c r="A6" t="s">
        <v>118</v>
      </c>
      <c r="B6" t="s">
        <v>108</v>
      </c>
      <c r="C6" t="s">
        <v>119</v>
      </c>
      <c r="D6" t="s">
        <v>113</v>
      </c>
    </row>
    <row r="7" spans="1:4" x14ac:dyDescent="0.25">
      <c r="A7" t="s">
        <v>120</v>
      </c>
      <c r="B7" t="s">
        <v>108</v>
      </c>
      <c r="C7" t="s">
        <v>121</v>
      </c>
      <c r="D7" t="s">
        <v>113</v>
      </c>
    </row>
    <row r="8" spans="1:4" x14ac:dyDescent="0.25">
      <c r="A8" t="s">
        <v>122</v>
      </c>
      <c r="B8" t="s">
        <v>123</v>
      </c>
      <c r="C8" t="s">
        <v>124</v>
      </c>
      <c r="D8" t="s">
        <v>113</v>
      </c>
    </row>
    <row r="9" spans="1:4" x14ac:dyDescent="0.25">
      <c r="A9" t="s">
        <v>125</v>
      </c>
      <c r="B9" t="s">
        <v>123</v>
      </c>
      <c r="C9" t="s">
        <v>126</v>
      </c>
      <c r="D9" t="s">
        <v>113</v>
      </c>
    </row>
    <row r="10" spans="1:4" x14ac:dyDescent="0.25">
      <c r="A10" t="s">
        <v>127</v>
      </c>
      <c r="B10" t="s">
        <v>128</v>
      </c>
      <c r="C10" t="s">
        <v>129</v>
      </c>
      <c r="D10" t="s">
        <v>113</v>
      </c>
    </row>
    <row r="11" spans="1:4" x14ac:dyDescent="0.25">
      <c r="A11" t="s">
        <v>130</v>
      </c>
      <c r="B11" t="s">
        <v>128</v>
      </c>
      <c r="C11" t="s">
        <v>131</v>
      </c>
      <c r="D11" t="s">
        <v>113</v>
      </c>
    </row>
    <row r="12" spans="1:4" x14ac:dyDescent="0.25">
      <c r="A12" t="s">
        <v>132</v>
      </c>
      <c r="B12" t="s">
        <v>128</v>
      </c>
      <c r="C12" t="s">
        <v>133</v>
      </c>
      <c r="D12" t="s">
        <v>113</v>
      </c>
    </row>
    <row r="13" spans="1:4" x14ac:dyDescent="0.25">
      <c r="A13" t="s">
        <v>134</v>
      </c>
      <c r="B13" t="s">
        <v>128</v>
      </c>
      <c r="C13" t="s">
        <v>135</v>
      </c>
      <c r="D13" t="s">
        <v>113</v>
      </c>
    </row>
    <row r="14" spans="1:4" x14ac:dyDescent="0.25">
      <c r="A14" t="s">
        <v>136</v>
      </c>
      <c r="B14" t="s">
        <v>145</v>
      </c>
      <c r="C14" t="s">
        <v>151</v>
      </c>
      <c r="D14" t="s">
        <v>113</v>
      </c>
    </row>
    <row r="15" spans="1:4" x14ac:dyDescent="0.25">
      <c r="A15" t="s">
        <v>137</v>
      </c>
      <c r="B15" t="s">
        <v>145</v>
      </c>
      <c r="C15" t="s">
        <v>152</v>
      </c>
      <c r="D15" t="s">
        <v>113</v>
      </c>
    </row>
    <row r="16" spans="1:4" x14ac:dyDescent="0.25">
      <c r="A16" t="s">
        <v>138</v>
      </c>
      <c r="B16" t="s">
        <v>145</v>
      </c>
      <c r="C16" t="s">
        <v>139</v>
      </c>
      <c r="D16" t="s">
        <v>113</v>
      </c>
    </row>
    <row r="17" spans="1:4" x14ac:dyDescent="0.25">
      <c r="A17" t="s">
        <v>140</v>
      </c>
      <c r="B17" t="s">
        <v>145</v>
      </c>
      <c r="C17" t="s">
        <v>141</v>
      </c>
      <c r="D17" t="s">
        <v>113</v>
      </c>
    </row>
    <row r="18" spans="1:4" x14ac:dyDescent="0.25">
      <c r="A18" t="s">
        <v>142</v>
      </c>
      <c r="B18" t="s">
        <v>145</v>
      </c>
      <c r="C18" t="s">
        <v>143</v>
      </c>
      <c r="D18" t="s">
        <v>113</v>
      </c>
    </row>
    <row r="19" spans="1:4" x14ac:dyDescent="0.25">
      <c r="A19" t="s">
        <v>144</v>
      </c>
      <c r="B19" t="s">
        <v>145</v>
      </c>
      <c r="C19" t="s">
        <v>146</v>
      </c>
      <c r="D19" t="s">
        <v>113</v>
      </c>
    </row>
    <row r="20" spans="1:4" x14ac:dyDescent="0.25">
      <c r="A20" t="s">
        <v>147</v>
      </c>
      <c r="B20" t="s">
        <v>145</v>
      </c>
      <c r="C20" t="s">
        <v>148</v>
      </c>
      <c r="D20" t="s">
        <v>113</v>
      </c>
    </row>
    <row r="21" spans="1:4" x14ac:dyDescent="0.25">
      <c r="A21" t="s">
        <v>149</v>
      </c>
      <c r="B21" t="s">
        <v>145</v>
      </c>
      <c r="C21" t="s">
        <v>150</v>
      </c>
      <c r="D21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EF88-7E56-441B-8A64-7F04D70AC37D}">
  <dimension ref="A1:D24"/>
  <sheetViews>
    <sheetView workbookViewId="0">
      <selection activeCell="B7" sqref="B7"/>
    </sheetView>
  </sheetViews>
  <sheetFormatPr defaultRowHeight="15" x14ac:dyDescent="0.25"/>
  <cols>
    <col min="1" max="1" width="29.7109375" customWidth="1"/>
    <col min="2" max="2" width="73.140625" customWidth="1"/>
    <col min="3" max="4" width="36.42578125" customWidth="1"/>
  </cols>
  <sheetData>
    <row r="1" spans="1:4" ht="16.5" thickBot="1" x14ac:dyDescent="0.3">
      <c r="A1" s="25" t="s">
        <v>48</v>
      </c>
      <c r="B1" s="26" t="s">
        <v>49</v>
      </c>
      <c r="C1" s="27" t="s">
        <v>50</v>
      </c>
      <c r="D1" s="27" t="s">
        <v>51</v>
      </c>
    </row>
    <row r="2" spans="1:4" ht="16.5" thickBot="1" x14ac:dyDescent="0.3">
      <c r="A2" s="28" t="s">
        <v>52</v>
      </c>
      <c r="B2" s="29" t="s">
        <v>53</v>
      </c>
      <c r="C2" s="29" t="s">
        <v>54</v>
      </c>
      <c r="D2" s="29" t="s">
        <v>55</v>
      </c>
    </row>
    <row r="3" spans="1:4" ht="16.5" thickBot="1" x14ac:dyDescent="0.3">
      <c r="A3" s="28"/>
      <c r="B3" s="30" t="s">
        <v>56</v>
      </c>
      <c r="C3" s="29"/>
      <c r="D3" s="29"/>
    </row>
    <row r="4" spans="1:4" ht="48" thickBot="1" x14ac:dyDescent="0.3">
      <c r="A4" s="28"/>
      <c r="B4" s="30" t="s">
        <v>57</v>
      </c>
      <c r="C4" s="29"/>
      <c r="D4" s="29"/>
    </row>
    <row r="5" spans="1:4" ht="16.5" thickBot="1" x14ac:dyDescent="0.3">
      <c r="A5" s="28" t="s">
        <v>58</v>
      </c>
      <c r="B5" s="29" t="s">
        <v>59</v>
      </c>
      <c r="C5" s="29" t="s">
        <v>60</v>
      </c>
      <c r="D5" s="29" t="s">
        <v>10</v>
      </c>
    </row>
    <row r="6" spans="1:4" ht="32.25" thickBot="1" x14ac:dyDescent="0.3">
      <c r="A6" s="31"/>
      <c r="B6" s="30" t="s">
        <v>61</v>
      </c>
      <c r="C6" s="32"/>
      <c r="D6" s="32"/>
    </row>
    <row r="7" spans="1:4" ht="32.25" thickBot="1" x14ac:dyDescent="0.3">
      <c r="A7" s="31"/>
      <c r="B7" s="30" t="s">
        <v>62</v>
      </c>
      <c r="C7" s="32"/>
      <c r="D7" s="32"/>
    </row>
    <row r="8" spans="1:4" ht="31.5" x14ac:dyDescent="0.25">
      <c r="A8" s="34"/>
      <c r="B8" s="33" t="s">
        <v>63</v>
      </c>
      <c r="C8" s="34"/>
      <c r="D8" s="34"/>
    </row>
    <row r="9" spans="1:4" ht="15.75" x14ac:dyDescent="0.25">
      <c r="A9" s="36"/>
      <c r="B9" s="33" t="s">
        <v>64</v>
      </c>
      <c r="C9" s="36"/>
      <c r="D9" s="36"/>
    </row>
    <row r="10" spans="1:4" ht="15.75" x14ac:dyDescent="0.25">
      <c r="A10" s="36"/>
      <c r="B10" s="33" t="s">
        <v>65</v>
      </c>
      <c r="C10" s="36"/>
      <c r="D10" s="36"/>
    </row>
    <row r="11" spans="1:4" ht="15.75" x14ac:dyDescent="0.25">
      <c r="A11" s="36"/>
      <c r="B11" s="33" t="s">
        <v>66</v>
      </c>
      <c r="C11" s="36"/>
      <c r="D11" s="36"/>
    </row>
    <row r="12" spans="1:4" ht="16.5" thickBot="1" x14ac:dyDescent="0.3">
      <c r="A12" s="35"/>
      <c r="B12" s="30" t="s">
        <v>67</v>
      </c>
      <c r="C12" s="35"/>
      <c r="D12" s="35"/>
    </row>
    <row r="13" spans="1:4" ht="16.5" thickBot="1" x14ac:dyDescent="0.3">
      <c r="A13" s="28" t="s">
        <v>68</v>
      </c>
      <c r="B13" s="29" t="s">
        <v>69</v>
      </c>
      <c r="C13" s="29" t="s">
        <v>70</v>
      </c>
      <c r="D13" s="29" t="s">
        <v>71</v>
      </c>
    </row>
    <row r="14" spans="1:4" ht="32.25" thickBot="1" x14ac:dyDescent="0.3">
      <c r="A14" s="31"/>
      <c r="B14" s="30" t="s">
        <v>72</v>
      </c>
      <c r="C14" s="32"/>
      <c r="D14" s="32"/>
    </row>
    <row r="15" spans="1:4" ht="32.25" thickBot="1" x14ac:dyDescent="0.3">
      <c r="A15" s="31"/>
      <c r="B15" s="30" t="s">
        <v>73</v>
      </c>
      <c r="C15" s="32"/>
      <c r="D15" s="32"/>
    </row>
    <row r="16" spans="1:4" ht="31.5" x14ac:dyDescent="0.25">
      <c r="A16" s="34"/>
      <c r="B16" s="33" t="s">
        <v>74</v>
      </c>
      <c r="C16" s="34"/>
      <c r="D16" s="34"/>
    </row>
    <row r="17" spans="1:4" ht="32.25" thickBot="1" x14ac:dyDescent="0.3">
      <c r="A17" s="35"/>
      <c r="B17" s="30" t="s">
        <v>75</v>
      </c>
      <c r="C17" s="35"/>
      <c r="D17" s="35"/>
    </row>
    <row r="18" spans="1:4" ht="16.5" thickBot="1" x14ac:dyDescent="0.3">
      <c r="A18" s="28" t="s">
        <v>76</v>
      </c>
      <c r="B18" s="29" t="s">
        <v>77</v>
      </c>
      <c r="C18" s="29" t="s">
        <v>78</v>
      </c>
      <c r="D18" s="29" t="s">
        <v>79</v>
      </c>
    </row>
    <row r="19" spans="1:4" ht="32.25" thickBot="1" x14ac:dyDescent="0.3">
      <c r="A19" s="31"/>
      <c r="B19" s="30" t="s">
        <v>80</v>
      </c>
      <c r="C19" s="32"/>
      <c r="D19" s="32"/>
    </row>
    <row r="20" spans="1:4" ht="16.5" thickBot="1" x14ac:dyDescent="0.3">
      <c r="A20" s="31"/>
      <c r="B20" s="30" t="s">
        <v>81</v>
      </c>
      <c r="C20" s="32"/>
      <c r="D20" s="32"/>
    </row>
    <row r="21" spans="1:4" ht="16.5" thickBot="1" x14ac:dyDescent="0.3">
      <c r="A21" s="31"/>
      <c r="B21" s="30" t="s">
        <v>82</v>
      </c>
      <c r="C21" s="32"/>
      <c r="D21" s="32"/>
    </row>
    <row r="22" spans="1:4" ht="15.75" x14ac:dyDescent="0.25">
      <c r="A22" s="34"/>
      <c r="B22" s="33" t="s">
        <v>83</v>
      </c>
      <c r="C22" s="34"/>
      <c r="D22" s="34"/>
    </row>
    <row r="23" spans="1:4" ht="16.5" thickBot="1" x14ac:dyDescent="0.3">
      <c r="A23" s="35"/>
      <c r="B23" s="30" t="s">
        <v>84</v>
      </c>
      <c r="C23" s="35"/>
      <c r="D23" s="35"/>
    </row>
    <row r="24" spans="1:4" ht="16.5" thickBot="1" x14ac:dyDescent="0.3">
      <c r="A24" s="31"/>
      <c r="B24" s="30" t="s">
        <v>85</v>
      </c>
      <c r="C24" s="32"/>
      <c r="D24" s="32"/>
    </row>
  </sheetData>
  <mergeCells count="9">
    <mergeCell ref="A22:A23"/>
    <mergeCell ref="C22:C23"/>
    <mergeCell ref="D22:D23"/>
    <mergeCell ref="A8:A12"/>
    <mergeCell ref="C8:C12"/>
    <mergeCell ref="D8:D12"/>
    <mergeCell ref="A16:A17"/>
    <mergeCell ref="C16:C17"/>
    <mergeCell ref="D16:D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Status</vt:lpstr>
      <vt:lpstr>Sheet2</vt:lpstr>
      <vt:lpstr>Sheet1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2026-04-21T13:39:54Z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