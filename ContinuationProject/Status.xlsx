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66AC240B-B60B-4712-8AA0-BE04885A0148}" xr6:coauthVersionLast="47" xr6:coauthVersionMax="47" xr10:uidLastSave="{00000000-0000-0000-0000-000000000000}"/>
  <bookViews>
    <workbookView xWindow="19090" yWindow="-110" windowWidth="19420" windowHeight="1030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8" i="4"/>
  <c r="F49" i="4"/>
  <c r="H49" i="4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<sst xmlns="http://schemas.openxmlformats.org/spreadsheetml/2006/main" count="129" uniqueCount="76">
  <si>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</si>
  <si>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</si>
  <si>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</si>
  <si>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</si>
  <si>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</si>
  <si>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</si>
  <si>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</si>
  <si>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</si>
  <si>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</si>
  <si>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</si>
  <si>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</si>
  <si>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</si>
  <si>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</si>
  <si>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</si>
  <si>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</si>
  <si>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</si>
  <si>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</si>
  <si>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</si>
  <si>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</si>
  <si>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</si>
  <si>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</si>
  <si>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</si>
  <si>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</si>
  <si>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</si>
  <si>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</si>
  <si>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</si>
  <si>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</si>
  <si>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</si>
  <si>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</si>
  <si>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</si>
  <si>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</si>
  <si>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</si>
  <si>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</si>
  <si>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</si>
  <si>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</si>
  <si>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</si>
  <si>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</si>
  <si>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</si>
  <si>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</si>
  <si>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</si>
  <si>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Label addition to profile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</si>
  <si>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</si>
  <si>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</si>
  <si>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</si>
  <si>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</si>
  <si>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</si>
  <si>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</si>
  <si>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</si>
  <si>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</si>
  <si>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</si>
  <si>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</si>
  <si>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</si>
  <si>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</si>
  <si>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</si>
  <si>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</si>
  <si>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</si>
  <si>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</si>
  <si>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</si>
  <si>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</si>
  <si>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</si>
  <si>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</si>
  <si>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</si>
  <si>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</si>
  <si>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</si>
  <si>
    <t>Label position incl. note
Label text
Node directions/type/position</t>
  </si>
  <si>
    <t>13.10.2025</t>
  </si>
  <si>
    <t>20.10.2025</t>
  </si>
  <si>
    <t>27.10.2025</t>
  </si>
  <si>
    <t>Waiting on name suggestions for sub-types</t>
  </si>
  <si>
    <t>Add sub-types to SignalConveyingFunction</t>
  </si>
  <si>
    <t>Checking html symbol info, type code enum &amp; node type discussion, finish including description.</t>
  </si>
  <si>
    <t xml:space="preserve">Default L-&gt;R for not in-line elements.
L-&gt;R for in-line or B-&gt;T </t>
  </si>
  <si>
    <t>Create blueprint examples for  requirements in both serialization formats.</t>
  </si>
  <si>
    <t>Good model - need to warn about minimum length for symbol</t>
  </si>
  <si>
    <t>Available in DEXPI 2.0 xml</t>
  </si>
  <si>
    <t>Not needed as can be managed in DEXPI 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</si>
</sst>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30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9" fontId="2" fillId="0" borderId="0" xfId="1" applyFont="1" applyFill="1"/>
    <xf numFmtId="14" fontId="4" fillId="0" borderId="0" xfId="4" applyNumberFormat="1" applyFill="1" applyBorder="1" applyAlignment="1">
      <alignment horizontal="left" wrapText="1"/>
    </xf>
    <xf numFmtId="9" fontId="6" fillId="0" borderId="3" xfId="1" applyFont="1" applyFill="1" applyBorder="1" applyAlignment="1">
      <alignment horizontal="right"/>
    </xf>
    <xf numFmtId="9" fontId="6" fillId="0" borderId="3" xfId="1" applyFont="1" applyFill="1" applyBorder="1" applyAlignment="1">
      <alignment horizontal="right" vertical="center"/>
    </xf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C41" activePane="bottomRight" state="frozen"/>
      <selection pane="topRight" activeCell="C1" sqref="C1"/>
      <selection pane="bottomLeft" activeCell="A4" sqref="A4"/>
      <selection pane="bottomRight" activeCell="E33" sqref="E33"/>
    </sheetView>
  </sheetViews>
  <sheetFormatPr defaultRowHeight="15" x14ac:dyDescent="0.25"/>
  <cols>
    <col min="1" max="1" width="5.85546875" customWidth="1"/>
    <col min="2" max="2" width="38.85546875" customWidth="1"/>
    <col min="3" max="3" width="38.5703125" customWidth="1"/>
    <col min="4" max="4" width="19.28515625" customWidth="1"/>
    <col min="5" max="5" width="14.5703125" style="20" customWidth="1"/>
    <col min="6" max="6" width="14.42578125" customWidth="1"/>
    <col min="7" max="7" width="19.7109375" customWidth="1"/>
    <col min="8" max="8" width="7" customWidth="1"/>
    <col min="9" max="9" width="36.5703125" customWidth="1"/>
    <col min="10" max="10" width="18.140625" style="22" hidden="1" customWidth="1"/>
    <col min="11" max="11" width="16.85546875" style="22" hidden="1" customWidth="1"/>
    <col min="12" max="12" width="15" style="22" hidden="1" customWidth="1"/>
    <col min="13" max="13" width="19.85546875" style="22" hidden="1" customWidth="1"/>
    <col min="14" max="14" width="17.7109375" style="22" hidden="1" customWidth="1"/>
    <col min="15" max="15" width="16" style="22" hidden="1" customWidth="1"/>
    <col min="16" max="16" width="16.42578125" customWidth="1"/>
    <col min="17" max="17" width="15.7109375" style="22" customWidth="1"/>
    <col min="18" max="18" width="19.140625" style="22" customWidth="1"/>
    <col min="19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  <c r="P1" s="26"/>
    </row>
    <row r="2" spans="2:59" ht="9" customHeight="1" x14ac:dyDescent="0.4">
      <c r="C2" s="6"/>
      <c r="D2" s="1"/>
      <c r="E2" s="17"/>
      <c r="F2" s="1"/>
      <c r="G2" s="4"/>
      <c r="H2" s="1"/>
      <c r="I2" s="6"/>
      <c r="P2" s="26"/>
    </row>
    <row r="3" spans="2:59" ht="19.5" x14ac:dyDescent="0.3">
      <c r="B3" s="2" t="s">
        <v>19</v>
      </c>
      <c r="C3" s="8" t="s">
        <v>18</v>
      </c>
      <c r="D3" s="2" t="s">
        <v>34</v>
      </c>
      <c r="E3" s="18" t="s">
        <v>42</v>
      </c>
      <c r="F3" s="2" t="s">
        <v>45</v>
      </c>
      <c r="G3" s="5" t="s">
        <v>46</v>
      </c>
      <c r="H3" s="3" t="s">
        <v>1</v>
      </c>
      <c r="I3" s="5" t="s">
        <v>44</v>
      </c>
      <c r="J3" s="21" t="s">
        <v>43</v>
      </c>
      <c r="K3" s="21" t="s">
        <v>50</v>
      </c>
      <c r="L3" s="21" t="s">
        <v>51</v>
      </c>
      <c r="M3" s="21" t="s">
        <v>58</v>
      </c>
      <c r="N3" s="21" t="s">
        <v>61</v>
      </c>
      <c r="O3" s="21" t="s">
        <v>63</v>
      </c>
      <c r="P3" s="27" t="s">
        <v>65</v>
      </c>
      <c r="Q3" s="27" t="s">
        <v>66</v>
      </c>
      <c r="R3" s="27" t="s">
        <v>67</v>
      </c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90" x14ac:dyDescent="0.25">
      <c r="B4" s="9" t="s">
        <v>12</v>
      </c>
      <c r="C4" s="9" t="s">
        <v>13</v>
      </c>
      <c r="D4" s="9" t="s">
        <v>64</v>
      </c>
      <c r="E4" s="19">
        <v>46010</v>
      </c>
      <c r="F4" s="9" t="str">
        <f>IF(G4=1,"Complete",IF(G4&lt;&gt;0,"In Progess","Not Started"))</f>
        <v>In Progess</v>
      </c>
      <c r="G4" s="10">
        <v>0.9</v>
      </c>
      <c r="H4" s="11">
        <f>--(G4&gt;=1)</f>
        <v>0</v>
      </c>
      <c r="I4" s="9"/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  <c r="P4" s="28">
        <v>0.8</v>
      </c>
      <c r="Q4" s="22">
        <v>0.85</v>
      </c>
      <c r="R4" s="22">
        <v>0.9</v>
      </c>
    </row>
    <row r="5" spans="2:59" ht="45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9" si="0">IF(G5=1,"Complete",IF(G5&lt;&gt;0,"In Progess","Not Started"))</f>
        <v>In Progess</v>
      </c>
      <c r="G5" s="10">
        <v>0.95</v>
      </c>
      <c r="H5" s="11">
        <f t="shared" ref="H5:H49" si="1">--(G5&gt;=1)</f>
        <v>0</v>
      </c>
      <c r="I5" s="9" t="s">
        <v>70</v>
      </c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  <c r="P5" s="28">
        <v>0.95</v>
      </c>
      <c r="Q5" s="22">
        <v>0.95</v>
      </c>
      <c r="R5" s="22">
        <v>0.95</v>
      </c>
    </row>
    <row r="6" spans="2:59" ht="30" x14ac:dyDescent="0.25">
      <c r="B6" s="9" t="s">
        <v>3</v>
      </c>
      <c r="C6" s="14" t="s">
        <v>20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/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  <c r="P6" s="28">
        <v>1</v>
      </c>
      <c r="Q6" s="22">
        <v>1</v>
      </c>
      <c r="R6" s="22">
        <v>1</v>
      </c>
    </row>
    <row r="7" spans="2:59" x14ac:dyDescent="0.25">
      <c r="B7" s="9" t="s">
        <v>3</v>
      </c>
      <c r="C7" s="15" t="s">
        <v>21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  <c r="P7" s="28">
        <v>1</v>
      </c>
      <c r="Q7" s="22">
        <v>1</v>
      </c>
      <c r="R7" s="22">
        <v>1</v>
      </c>
    </row>
    <row r="8" spans="2:59" x14ac:dyDescent="0.25">
      <c r="B8" s="9" t="s">
        <v>3</v>
      </c>
      <c r="C8" s="15" t="s">
        <v>22</v>
      </c>
      <c r="D8" s="9"/>
      <c r="E8" s="19">
        <v>45931</v>
      </c>
      <c r="F8" s="9" t="str">
        <f t="shared" si="0"/>
        <v>Complete</v>
      </c>
      <c r="G8" s="10">
        <v>1</v>
      </c>
      <c r="H8" s="11">
        <f t="shared" si="1"/>
        <v>1</v>
      </c>
      <c r="I8" s="9"/>
      <c r="J8" s="23"/>
      <c r="N8" s="22">
        <v>0.1</v>
      </c>
      <c r="O8" s="22">
        <v>0.1</v>
      </c>
      <c r="P8" s="28">
        <v>0.2</v>
      </c>
      <c r="Q8" s="22">
        <v>1</v>
      </c>
      <c r="R8" s="22">
        <v>1</v>
      </c>
    </row>
    <row r="9" spans="2:59" x14ac:dyDescent="0.25">
      <c r="B9" s="9" t="s">
        <v>3</v>
      </c>
      <c r="C9" s="9" t="s">
        <v>23</v>
      </c>
      <c r="D9" s="9"/>
      <c r="E9" s="19">
        <v>45962</v>
      </c>
      <c r="F9" s="9" t="str">
        <f t="shared" si="0"/>
        <v>In Progess</v>
      </c>
      <c r="G9" s="10">
        <v>0.1</v>
      </c>
      <c r="H9" s="11">
        <f t="shared" si="1"/>
        <v>0</v>
      </c>
      <c r="I9" s="9"/>
      <c r="J9" s="23"/>
      <c r="P9" s="28"/>
      <c r="Q9" s="22">
        <v>0.1</v>
      </c>
      <c r="R9" s="22">
        <v>0.1</v>
      </c>
    </row>
    <row r="10" spans="2:59" x14ac:dyDescent="0.25">
      <c r="B10" s="9" t="s">
        <v>4</v>
      </c>
      <c r="C10" s="9" t="s">
        <v>23</v>
      </c>
      <c r="D10" s="9"/>
      <c r="E10" s="19">
        <v>45909</v>
      </c>
      <c r="F10" s="9" t="s">
        <v>49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  <c r="P10" s="28">
        <v>1</v>
      </c>
      <c r="Q10" s="22">
        <v>1</v>
      </c>
      <c r="R10" s="22">
        <v>1</v>
      </c>
    </row>
    <row r="11" spans="2:59" ht="45" x14ac:dyDescent="0.25">
      <c r="B11" s="9" t="s">
        <v>5</v>
      </c>
      <c r="C11" s="15" t="s">
        <v>21</v>
      </c>
      <c r="D11" s="9" t="s">
        <v>60</v>
      </c>
      <c r="E11" s="19">
        <v>45917</v>
      </c>
      <c r="F11" s="9" t="str">
        <f t="shared" si="0"/>
        <v>Complete</v>
      </c>
      <c r="G11" s="10">
        <v>1</v>
      </c>
      <c r="H11" s="11">
        <f t="shared" si="1"/>
        <v>1</v>
      </c>
      <c r="I11" s="9" t="s">
        <v>59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  <c r="P11" s="28">
        <v>1</v>
      </c>
      <c r="Q11" s="22">
        <v>1</v>
      </c>
      <c r="R11" s="22">
        <v>1</v>
      </c>
    </row>
    <row r="12" spans="2:59" x14ac:dyDescent="0.25">
      <c r="B12" s="9" t="s">
        <v>5</v>
      </c>
      <c r="C12" s="15" t="s">
        <v>22</v>
      </c>
      <c r="D12" s="9"/>
      <c r="E12" s="19">
        <v>45924</v>
      </c>
      <c r="F12" s="9" t="str">
        <f t="shared" si="0"/>
        <v>Complete</v>
      </c>
      <c r="G12" s="10">
        <v>1</v>
      </c>
      <c r="H12" s="11">
        <f t="shared" si="1"/>
        <v>1</v>
      </c>
      <c r="I12" s="9"/>
      <c r="J12" s="23"/>
      <c r="P12" s="28">
        <v>1</v>
      </c>
      <c r="Q12" s="22">
        <v>1</v>
      </c>
      <c r="R12" s="22">
        <v>1</v>
      </c>
    </row>
    <row r="13" spans="2:59" x14ac:dyDescent="0.25">
      <c r="B13" s="9" t="s">
        <v>5</v>
      </c>
      <c r="C13" s="9" t="s">
        <v>23</v>
      </c>
      <c r="D13" s="9"/>
      <c r="E13" s="19">
        <v>45931</v>
      </c>
      <c r="F13" s="9" t="str">
        <f t="shared" si="0"/>
        <v>In Progess</v>
      </c>
      <c r="G13" s="10">
        <v>0.15</v>
      </c>
      <c r="H13" s="11">
        <f t="shared" si="1"/>
        <v>0</v>
      </c>
      <c r="I13" s="9"/>
      <c r="J13" s="23"/>
      <c r="O13" s="22">
        <v>0.4</v>
      </c>
      <c r="P13" s="28">
        <v>0.15</v>
      </c>
      <c r="Q13" s="22">
        <v>0.15</v>
      </c>
      <c r="R13" s="22">
        <v>0.15</v>
      </c>
    </row>
    <row r="14" spans="2:59" x14ac:dyDescent="0.25">
      <c r="B14" s="9" t="s">
        <v>6</v>
      </c>
      <c r="C14" s="9" t="s">
        <v>38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39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  <c r="P14" s="28">
        <v>1</v>
      </c>
      <c r="Q14" s="22">
        <v>1</v>
      </c>
      <c r="R14" s="22">
        <v>1</v>
      </c>
    </row>
    <row r="15" spans="2:59" ht="30" x14ac:dyDescent="0.25">
      <c r="B15" s="9" t="s">
        <v>6</v>
      </c>
      <c r="C15" s="9" t="s">
        <v>24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41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  <c r="P15" s="28">
        <v>0.7</v>
      </c>
      <c r="Q15" s="22">
        <v>0.7</v>
      </c>
      <c r="R15" s="22">
        <v>0.7</v>
      </c>
    </row>
    <row r="16" spans="2:59" ht="30" x14ac:dyDescent="0.25">
      <c r="B16" s="9" t="s">
        <v>7</v>
      </c>
      <c r="C16" s="9" t="s">
        <v>25</v>
      </c>
      <c r="D16" s="9"/>
      <c r="E16" s="19">
        <v>45966</v>
      </c>
      <c r="F16" s="9" t="str">
        <f t="shared" si="0"/>
        <v>In Progess</v>
      </c>
      <c r="G16" s="10">
        <v>0.5</v>
      </c>
      <c r="H16" s="11">
        <f t="shared" si="1"/>
        <v>0</v>
      </c>
      <c r="I16" s="6" t="s">
        <v>74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  <c r="P16" s="28">
        <v>0.3</v>
      </c>
      <c r="Q16" s="22">
        <v>0.3</v>
      </c>
      <c r="R16" s="22">
        <v>0.5</v>
      </c>
    </row>
    <row r="17" spans="2:18" ht="17.25" customHeight="1" x14ac:dyDescent="0.25">
      <c r="B17" s="9" t="s">
        <v>7</v>
      </c>
      <c r="C17" s="9" t="s">
        <v>20</v>
      </c>
      <c r="D17" s="9"/>
      <c r="E17" s="19">
        <v>45982</v>
      </c>
      <c r="F17" s="9" t="str">
        <f t="shared" si="0"/>
        <v>Complete</v>
      </c>
      <c r="G17" s="10">
        <v>1</v>
      </c>
      <c r="H17" s="11">
        <f t="shared" si="1"/>
        <v>1</v>
      </c>
      <c r="I17" s="6" t="s">
        <v>75</v>
      </c>
      <c r="J17" s="23"/>
      <c r="P17" s="28"/>
      <c r="R17" s="22">
        <v>1</v>
      </c>
    </row>
    <row r="18" spans="2:18" x14ac:dyDescent="0.25">
      <c r="B18" s="9" t="s">
        <v>7</v>
      </c>
      <c r="C18" s="9" t="s">
        <v>21</v>
      </c>
      <c r="D18" s="9"/>
      <c r="E18" s="19">
        <v>45989</v>
      </c>
      <c r="F18" s="9" t="str">
        <f t="shared" si="0"/>
        <v>Not Started</v>
      </c>
      <c r="G18" s="10"/>
      <c r="H18" s="11">
        <f t="shared" si="1"/>
        <v>0</v>
      </c>
      <c r="J18" s="23"/>
      <c r="P18" s="28"/>
    </row>
    <row r="19" spans="2:18" x14ac:dyDescent="0.25">
      <c r="B19" s="9" t="s">
        <v>7</v>
      </c>
      <c r="C19" s="9" t="s">
        <v>22</v>
      </c>
      <c r="D19" s="9"/>
      <c r="E19" s="19">
        <v>45996</v>
      </c>
      <c r="F19" s="9" t="str">
        <f t="shared" si="0"/>
        <v>Not Started</v>
      </c>
      <c r="G19" s="10"/>
      <c r="H19" s="11">
        <f t="shared" si="1"/>
        <v>0</v>
      </c>
      <c r="J19" s="23"/>
      <c r="P19" s="28"/>
    </row>
    <row r="20" spans="2:18" x14ac:dyDescent="0.25">
      <c r="B20" s="9" t="s">
        <v>7</v>
      </c>
      <c r="C20" s="9" t="s">
        <v>23</v>
      </c>
      <c r="D20" s="9"/>
      <c r="E20" s="19">
        <v>46003</v>
      </c>
      <c r="F20" s="9" t="str">
        <f t="shared" si="0"/>
        <v>Not Started</v>
      </c>
      <c r="G20" s="10"/>
      <c r="H20" s="11">
        <f t="shared" si="1"/>
        <v>0</v>
      </c>
      <c r="J20" s="23"/>
      <c r="P20" s="28"/>
    </row>
    <row r="21" spans="2:18" ht="105" x14ac:dyDescent="0.25">
      <c r="B21" s="9" t="s">
        <v>8</v>
      </c>
      <c r="C21" s="9" t="s">
        <v>25</v>
      </c>
      <c r="D21" s="9"/>
      <c r="E21" s="19">
        <v>45912</v>
      </c>
      <c r="F21" s="9" t="str">
        <f t="shared" si="0"/>
        <v>In Progess</v>
      </c>
      <c r="G21" s="10">
        <v>0.75</v>
      </c>
      <c r="H21" s="11">
        <f t="shared" si="1"/>
        <v>0</v>
      </c>
      <c r="I21" s="6" t="s">
        <v>53</v>
      </c>
      <c r="J21" s="23"/>
      <c r="L21" s="22">
        <v>0.4</v>
      </c>
      <c r="M21" s="22">
        <v>0.65</v>
      </c>
      <c r="N21" s="22">
        <v>0.75</v>
      </c>
      <c r="O21" s="22">
        <v>0.75</v>
      </c>
      <c r="P21" s="28">
        <v>0.75</v>
      </c>
      <c r="Q21" s="22">
        <v>0.75</v>
      </c>
      <c r="R21" s="22">
        <v>0.75</v>
      </c>
    </row>
    <row r="22" spans="2:18" ht="17.25" customHeight="1" x14ac:dyDescent="0.25">
      <c r="B22" s="9" t="s">
        <v>8</v>
      </c>
      <c r="C22" s="9" t="s">
        <v>20</v>
      </c>
      <c r="D22" s="9"/>
      <c r="E22" s="19">
        <v>45919</v>
      </c>
      <c r="F22" s="9" t="str">
        <f t="shared" si="0"/>
        <v>In Progess</v>
      </c>
      <c r="G22" s="10">
        <v>0.2</v>
      </c>
      <c r="H22" s="11">
        <f t="shared" si="1"/>
        <v>0</v>
      </c>
      <c r="J22" s="23"/>
      <c r="L22" s="22">
        <v>0.3</v>
      </c>
      <c r="M22" s="22">
        <v>0.3</v>
      </c>
      <c r="N22" s="22">
        <v>0.2</v>
      </c>
      <c r="O22" s="22">
        <v>0.2</v>
      </c>
      <c r="P22" s="28">
        <v>0.2</v>
      </c>
      <c r="Q22" s="22">
        <v>0.2</v>
      </c>
      <c r="R22" s="22">
        <v>0.2</v>
      </c>
    </row>
    <row r="23" spans="2:18" ht="30" x14ac:dyDescent="0.25">
      <c r="B23" s="9" t="s">
        <v>8</v>
      </c>
      <c r="C23" s="9" t="s">
        <v>21</v>
      </c>
      <c r="D23" s="9"/>
      <c r="E23" s="19">
        <v>45952</v>
      </c>
      <c r="F23" s="9" t="str">
        <f t="shared" si="0"/>
        <v>Not Started</v>
      </c>
      <c r="G23" s="10"/>
      <c r="H23" s="11">
        <f t="shared" si="1"/>
        <v>0</v>
      </c>
      <c r="J23" s="23"/>
      <c r="P23" s="28"/>
    </row>
    <row r="24" spans="2:18" x14ac:dyDescent="0.25">
      <c r="B24" s="9" t="s">
        <v>8</v>
      </c>
      <c r="C24" s="9" t="s">
        <v>22</v>
      </c>
      <c r="D24" s="9"/>
      <c r="E24" s="19">
        <v>45959</v>
      </c>
      <c r="F24" s="9" t="str">
        <f t="shared" si="0"/>
        <v>Not Started</v>
      </c>
      <c r="G24" s="10"/>
      <c r="H24" s="11">
        <f t="shared" si="1"/>
        <v>0</v>
      </c>
      <c r="J24" s="23"/>
      <c r="P24" s="28"/>
    </row>
    <row r="25" spans="2:18" x14ac:dyDescent="0.25">
      <c r="B25" s="9" t="s">
        <v>8</v>
      </c>
      <c r="C25" s="9" t="s">
        <v>23</v>
      </c>
      <c r="D25" s="9"/>
      <c r="E25" s="19">
        <v>45967</v>
      </c>
      <c r="F25" s="9" t="str">
        <f t="shared" si="0"/>
        <v>Not Started</v>
      </c>
      <c r="G25" s="10"/>
      <c r="H25" s="11">
        <f t="shared" si="1"/>
        <v>0</v>
      </c>
      <c r="J25" s="23"/>
      <c r="P25" s="28"/>
    </row>
    <row r="26" spans="2:18" ht="49.5" customHeight="1" x14ac:dyDescent="0.25">
      <c r="B26" s="9" t="s">
        <v>2</v>
      </c>
      <c r="C26" s="9" t="s">
        <v>20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52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  <c r="P26" s="28">
        <v>1</v>
      </c>
      <c r="Q26" s="22">
        <v>1</v>
      </c>
      <c r="R26" s="22">
        <v>1</v>
      </c>
    </row>
    <row r="27" spans="2:18" x14ac:dyDescent="0.25">
      <c r="B27" s="9" t="s">
        <v>2</v>
      </c>
      <c r="C27" s="9" t="s">
        <v>21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  <c r="P27" s="28">
        <v>1</v>
      </c>
      <c r="Q27" s="22">
        <v>1</v>
      </c>
      <c r="R27" s="22">
        <v>1</v>
      </c>
    </row>
    <row r="28" spans="2:18" x14ac:dyDescent="0.25">
      <c r="B28" s="9" t="s">
        <v>2</v>
      </c>
      <c r="C28" s="9" t="s">
        <v>22</v>
      </c>
      <c r="D28" s="9"/>
      <c r="E28" s="19">
        <v>45922</v>
      </c>
      <c r="F28" s="9" t="str">
        <f t="shared" si="0"/>
        <v>Complete</v>
      </c>
      <c r="G28" s="10">
        <v>1</v>
      </c>
      <c r="H28" s="11">
        <f t="shared" si="1"/>
        <v>1</v>
      </c>
      <c r="I28" s="9"/>
      <c r="J28" s="23"/>
      <c r="P28" s="28">
        <v>0.75</v>
      </c>
      <c r="Q28" s="22">
        <v>1</v>
      </c>
      <c r="R28" s="22">
        <v>1</v>
      </c>
    </row>
    <row r="29" spans="2:18" x14ac:dyDescent="0.25">
      <c r="B29" s="9" t="s">
        <v>2</v>
      </c>
      <c r="C29" s="9" t="s">
        <v>23</v>
      </c>
      <c r="D29" s="12"/>
      <c r="E29" s="19">
        <v>45959</v>
      </c>
      <c r="F29" s="9" t="str">
        <f t="shared" si="0"/>
        <v>In Progess</v>
      </c>
      <c r="G29" s="10">
        <v>0.1</v>
      </c>
      <c r="H29" s="11">
        <f t="shared" si="1"/>
        <v>0</v>
      </c>
      <c r="I29" s="9"/>
      <c r="J29" s="23"/>
      <c r="P29" s="28"/>
      <c r="Q29" s="22">
        <v>0.1</v>
      </c>
      <c r="R29" s="22">
        <v>0.1</v>
      </c>
    </row>
    <row r="30" spans="2:18" x14ac:dyDescent="0.25">
      <c r="B30" s="9" t="s">
        <v>9</v>
      </c>
      <c r="C30" s="9" t="s">
        <v>25</v>
      </c>
      <c r="D30" s="9"/>
      <c r="E30" s="19">
        <v>45926</v>
      </c>
      <c r="F30" s="9" t="str">
        <f t="shared" si="0"/>
        <v>Complete</v>
      </c>
      <c r="G30" s="10">
        <v>1</v>
      </c>
      <c r="H30" s="11">
        <f t="shared" si="1"/>
        <v>1</v>
      </c>
      <c r="I30" t="s">
        <v>69</v>
      </c>
      <c r="J30" s="23"/>
      <c r="L30" s="22">
        <v>0.5</v>
      </c>
      <c r="M30" s="22">
        <v>0.8</v>
      </c>
      <c r="N30" s="22">
        <v>0.8</v>
      </c>
      <c r="O30" s="22">
        <v>0.8</v>
      </c>
      <c r="P30" s="28">
        <v>0.8</v>
      </c>
      <c r="Q30" s="22">
        <v>0.8</v>
      </c>
      <c r="R30" s="22">
        <v>1</v>
      </c>
    </row>
    <row r="31" spans="2:18" ht="17.25" customHeight="1" x14ac:dyDescent="0.25">
      <c r="B31" s="9" t="s">
        <v>9</v>
      </c>
      <c r="C31" s="9" t="s">
        <v>20</v>
      </c>
      <c r="D31" s="9"/>
      <c r="E31" s="19">
        <v>45931</v>
      </c>
      <c r="F31" s="9" t="str">
        <f t="shared" si="0"/>
        <v>In Progess</v>
      </c>
      <c r="G31" s="10">
        <v>0.85</v>
      </c>
      <c r="H31" s="11">
        <f t="shared" si="1"/>
        <v>0</v>
      </c>
      <c r="I31" s="9" t="s">
        <v>68</v>
      </c>
      <c r="J31" s="23"/>
      <c r="L31" s="22">
        <v>0.5</v>
      </c>
      <c r="M31" s="22">
        <v>0.5</v>
      </c>
      <c r="N31" s="22">
        <v>0.5</v>
      </c>
      <c r="O31" s="22">
        <v>0.5</v>
      </c>
      <c r="P31" s="28">
        <v>0.5</v>
      </c>
      <c r="Q31" s="22">
        <v>0.5</v>
      </c>
      <c r="R31" s="22">
        <v>0.85</v>
      </c>
    </row>
    <row r="32" spans="2:18" x14ac:dyDescent="0.25">
      <c r="B32" s="9" t="s">
        <v>9</v>
      </c>
      <c r="C32" s="9" t="s">
        <v>21</v>
      </c>
      <c r="D32" s="12"/>
      <c r="E32" s="19">
        <v>45938</v>
      </c>
      <c r="F32" s="9" t="str">
        <f t="shared" si="0"/>
        <v>In Progess</v>
      </c>
      <c r="G32" s="10">
        <v>0.15</v>
      </c>
      <c r="H32" s="11">
        <f t="shared" si="1"/>
        <v>0</v>
      </c>
      <c r="I32" s="9"/>
      <c r="J32" s="23"/>
      <c r="P32" s="28"/>
      <c r="R32" s="22">
        <v>0.15</v>
      </c>
    </row>
    <row r="33" spans="2:18" x14ac:dyDescent="0.25">
      <c r="B33" s="9" t="s">
        <v>9</v>
      </c>
      <c r="C33" s="9" t="s">
        <v>22</v>
      </c>
      <c r="D33" s="9"/>
      <c r="E33" s="19">
        <v>45945</v>
      </c>
      <c r="F33" s="9" t="str">
        <f t="shared" si="0"/>
        <v>Not Started</v>
      </c>
      <c r="G33" s="10"/>
      <c r="H33" s="11">
        <f t="shared" si="1"/>
        <v>0</v>
      </c>
      <c r="I33" s="9"/>
      <c r="J33" s="23"/>
      <c r="P33" s="28"/>
    </row>
    <row r="34" spans="2:18" x14ac:dyDescent="0.25">
      <c r="B34" s="9" t="s">
        <v>9</v>
      </c>
      <c r="C34" s="9" t="s">
        <v>23</v>
      </c>
      <c r="D34" s="12"/>
      <c r="E34" s="19">
        <v>45952</v>
      </c>
      <c r="F34" s="9" t="str">
        <f t="shared" si="0"/>
        <v>Not Started</v>
      </c>
      <c r="G34" s="10"/>
      <c r="H34" s="11">
        <f t="shared" si="1"/>
        <v>0</v>
      </c>
      <c r="I34" s="9"/>
      <c r="J34" s="23"/>
      <c r="P34" s="28"/>
    </row>
    <row r="35" spans="2:18" ht="30" x14ac:dyDescent="0.25">
      <c r="B35" s="9" t="s">
        <v>37</v>
      </c>
      <c r="C35" s="9" t="s">
        <v>21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  <c r="P35" s="28">
        <v>1</v>
      </c>
      <c r="Q35" s="22">
        <v>1</v>
      </c>
      <c r="R35" s="22">
        <v>1</v>
      </c>
    </row>
    <row r="36" spans="2:18" x14ac:dyDescent="0.25">
      <c r="B36" s="9" t="s">
        <v>37</v>
      </c>
      <c r="C36" s="9" t="s">
        <v>22</v>
      </c>
      <c r="D36" s="9"/>
      <c r="E36" s="19">
        <v>45938</v>
      </c>
      <c r="F36" s="9" t="str">
        <f t="shared" si="0"/>
        <v>Complete</v>
      </c>
      <c r="G36" s="10">
        <v>1</v>
      </c>
      <c r="H36" s="11">
        <f t="shared" si="1"/>
        <v>1</v>
      </c>
      <c r="I36" s="9"/>
      <c r="J36" s="23"/>
      <c r="N36" s="22">
        <v>0.2</v>
      </c>
      <c r="O36" s="22">
        <v>0.2</v>
      </c>
      <c r="P36" s="28">
        <v>1</v>
      </c>
      <c r="Q36" s="22">
        <v>1</v>
      </c>
      <c r="R36" s="22">
        <v>1</v>
      </c>
    </row>
    <row r="37" spans="2:18" x14ac:dyDescent="0.25">
      <c r="B37" s="9" t="s">
        <v>37</v>
      </c>
      <c r="C37" s="9" t="s">
        <v>23</v>
      </c>
      <c r="D37" s="12"/>
      <c r="E37" s="19">
        <v>45945</v>
      </c>
      <c r="F37" s="9" t="str">
        <f t="shared" si="0"/>
        <v>In Progess</v>
      </c>
      <c r="G37" s="10">
        <v>0.4</v>
      </c>
      <c r="H37" s="11">
        <f t="shared" si="1"/>
        <v>0</v>
      </c>
      <c r="I37" s="9"/>
      <c r="J37" s="23"/>
      <c r="O37" s="22">
        <v>0.4</v>
      </c>
      <c r="P37" s="28">
        <v>0.4</v>
      </c>
      <c r="Q37" s="22">
        <v>0.4</v>
      </c>
      <c r="R37" s="22">
        <v>0.4</v>
      </c>
    </row>
    <row r="38" spans="2:18" ht="75" x14ac:dyDescent="0.25">
      <c r="B38" s="9" t="s">
        <v>26</v>
      </c>
      <c r="C38" s="9" t="s">
        <v>48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47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  <c r="P38" s="28">
        <v>1</v>
      </c>
      <c r="Q38" s="22">
        <v>1</v>
      </c>
      <c r="R38" s="22">
        <v>1</v>
      </c>
    </row>
    <row r="39" spans="2:18" x14ac:dyDescent="0.25">
      <c r="B39" s="9" t="s">
        <v>26</v>
      </c>
      <c r="C39" s="9" t="s">
        <v>22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35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  <c r="P39" s="28">
        <v>1</v>
      </c>
      <c r="Q39" s="22">
        <v>1</v>
      </c>
      <c r="R39" s="22">
        <v>1</v>
      </c>
    </row>
    <row r="40" spans="2:18" ht="30" x14ac:dyDescent="0.25">
      <c r="B40" s="9" t="s">
        <v>26</v>
      </c>
      <c r="C40" s="9" t="s">
        <v>40</v>
      </c>
      <c r="D40" s="9" t="s">
        <v>62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0.95</v>
      </c>
      <c r="H40" s="11">
        <f t="shared" ref="H40" si="3">--(G40&gt;=1)</f>
        <v>0</v>
      </c>
      <c r="I40" s="9" t="s">
        <v>71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  <c r="P40" s="28">
        <v>0.95</v>
      </c>
      <c r="Q40" s="22">
        <v>0.95</v>
      </c>
      <c r="R40" s="22">
        <v>0.95</v>
      </c>
    </row>
    <row r="41" spans="2:18" ht="90" x14ac:dyDescent="0.25">
      <c r="B41" s="9" t="s">
        <v>10</v>
      </c>
      <c r="C41" s="9" t="s">
        <v>27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 t="s">
        <v>36</v>
      </c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  <c r="P41" s="28">
        <v>1</v>
      </c>
      <c r="Q41" s="22">
        <v>1</v>
      </c>
      <c r="R41" s="22">
        <v>1</v>
      </c>
    </row>
    <row r="42" spans="2:18" ht="30" x14ac:dyDescent="0.25">
      <c r="B42" s="7" t="s">
        <v>28</v>
      </c>
      <c r="C42" s="9" t="s">
        <v>32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  <c r="P42" s="28">
        <v>1</v>
      </c>
      <c r="Q42" s="22">
        <v>1</v>
      </c>
      <c r="R42" s="22">
        <v>1</v>
      </c>
    </row>
    <row r="43" spans="2:18" x14ac:dyDescent="0.25">
      <c r="B43" s="7" t="s">
        <v>11</v>
      </c>
      <c r="C43" s="9" t="s">
        <v>33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  <c r="P43" s="28">
        <v>1</v>
      </c>
      <c r="Q43" s="22">
        <v>1</v>
      </c>
      <c r="R43" s="22">
        <v>1</v>
      </c>
    </row>
    <row r="44" spans="2:18" ht="30" x14ac:dyDescent="0.25">
      <c r="B44" s="7" t="s">
        <v>15</v>
      </c>
      <c r="C44" s="9" t="s">
        <v>29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  <c r="P44" s="29">
        <v>0.99</v>
      </c>
      <c r="Q44" s="22">
        <v>0.99</v>
      </c>
      <c r="R44" s="22">
        <v>0.99</v>
      </c>
    </row>
    <row r="45" spans="2:18" ht="45" x14ac:dyDescent="0.25">
      <c r="B45" s="7" t="s">
        <v>15</v>
      </c>
      <c r="C45" s="9" t="s">
        <v>72</v>
      </c>
      <c r="D45" s="12"/>
      <c r="E45" s="19">
        <v>46010</v>
      </c>
      <c r="F45" s="9" t="str">
        <f t="shared" si="0"/>
        <v>Complete</v>
      </c>
      <c r="G45" s="13">
        <v>1</v>
      </c>
      <c r="H45" s="11">
        <f t="shared" si="1"/>
        <v>1</v>
      </c>
      <c r="I45" s="9"/>
      <c r="J45" s="23"/>
      <c r="P45" s="29">
        <v>0.1</v>
      </c>
      <c r="Q45" s="22">
        <v>0.1</v>
      </c>
      <c r="R45" s="22">
        <v>1</v>
      </c>
    </row>
    <row r="46" spans="2:18" x14ac:dyDescent="0.25">
      <c r="B46" s="7" t="s">
        <v>16</v>
      </c>
      <c r="C46" s="9" t="s">
        <v>30</v>
      </c>
      <c r="D46" s="12"/>
      <c r="E46" s="19">
        <v>46010</v>
      </c>
      <c r="F46" s="9" t="str">
        <f t="shared" si="0"/>
        <v>In Progess</v>
      </c>
      <c r="G46" s="13">
        <v>0.7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  <c r="P46" s="29">
        <v>0.7</v>
      </c>
      <c r="Q46" s="22">
        <v>0.7</v>
      </c>
      <c r="R46" s="22">
        <v>0.7</v>
      </c>
    </row>
    <row r="47" spans="2:18" ht="30" x14ac:dyDescent="0.25">
      <c r="B47" s="7" t="s">
        <v>17</v>
      </c>
      <c r="C47" s="9" t="s">
        <v>31</v>
      </c>
      <c r="D47" s="12"/>
      <c r="E47" s="19">
        <v>45971</v>
      </c>
      <c r="F47" s="9" t="str">
        <f t="shared" si="0"/>
        <v>In Progess</v>
      </c>
      <c r="G47" s="13">
        <v>0.5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  <c r="P47" s="29">
        <v>0.5</v>
      </c>
      <c r="Q47" s="22">
        <v>0.5</v>
      </c>
      <c r="R47" s="22">
        <v>0.5</v>
      </c>
    </row>
    <row r="48" spans="2:18" ht="45" x14ac:dyDescent="0.25">
      <c r="B48" t="s">
        <v>54</v>
      </c>
      <c r="C48" s="6" t="s">
        <v>55</v>
      </c>
      <c r="E48" s="20">
        <v>46010</v>
      </c>
      <c r="F48" s="9" t="str">
        <f t="shared" si="0"/>
        <v>In Progess</v>
      </c>
      <c r="G48" s="24">
        <v>0.8</v>
      </c>
      <c r="H48" s="25">
        <f t="shared" si="1"/>
        <v>0</v>
      </c>
      <c r="I48" t="s">
        <v>73</v>
      </c>
      <c r="L48" s="22">
        <v>0</v>
      </c>
      <c r="M48" s="22">
        <v>0</v>
      </c>
      <c r="N48" s="22">
        <v>0</v>
      </c>
      <c r="O48" s="22">
        <v>0</v>
      </c>
      <c r="P48" s="24">
        <v>0.15</v>
      </c>
      <c r="Q48" s="22">
        <v>0.7</v>
      </c>
      <c r="R48" s="22">
        <v>0.8</v>
      </c>
    </row>
    <row r="49" spans="2:18" x14ac:dyDescent="0.25">
      <c r="B49" t="s">
        <v>56</v>
      </c>
      <c r="C49" s="6" t="s">
        <v>57</v>
      </c>
      <c r="E49" s="20">
        <v>45918</v>
      </c>
      <c r="F49" s="9" t="str">
        <f t="shared" si="0"/>
        <v>Complete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  <c r="P49" s="24">
        <v>1</v>
      </c>
      <c r="Q49" s="22">
        <v>1</v>
      </c>
      <c r="R49" s="22">
        <v>1</v>
      </c>
    </row>
  </sheetData>
  <autoFilter ref="B3:BG47" xr:uid="{825F216F-6A2C-43F0-976D-4459909E096A}"/>
  <conditionalFormatting sqref="G4:G49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9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2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2025-10-27T14:32:34Z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